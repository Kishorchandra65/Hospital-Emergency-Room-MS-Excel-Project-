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isho\OneDrive\Desktop\"/>
    </mc:Choice>
  </mc:AlternateContent>
  <xr:revisionPtr revIDLastSave="0" documentId="13_ncr:1_{ED55337F-2AD1-4F18-B8E9-50974B1B4399}" xr6:coauthVersionLast="47" xr6:coauthVersionMax="47" xr10:uidLastSave="{00000000-0000-0000-0000-000000000000}"/>
  <bookViews>
    <workbookView xWindow="-108" yWindow="-108" windowWidth="23256" windowHeight="13176" activeTab="1" xr2:uid="{00000000-000D-0000-FFFF-FFFF00000000}"/>
  </bookViews>
  <sheets>
    <sheet name="Pivot Report " sheetId="1" r:id="rId1"/>
    <sheet name="Dashboard" sheetId="2" r:id="rId2"/>
    <sheet name="average wait time" sheetId="3" r:id="rId3"/>
  </sheets>
  <definedNames>
    <definedName name="Slicer_Date__Month">#N/A</definedName>
    <definedName name="Slicer_Date__Year">#N/A</definedName>
  </definedNames>
  <calcPr calcId="191029"/>
  <pivotCaches>
    <pivotCache cacheId="1010" r:id="rId4"/>
    <pivotCache cacheId="1013" r:id="rId5"/>
    <pivotCache cacheId="1016" r:id="rId6"/>
    <pivotCache cacheId="1019" r:id="rId7"/>
    <pivotCache cacheId="1022" r:id="rId8"/>
    <pivotCache cacheId="1025" r:id="rId9"/>
    <pivotCache cacheId="1028" r:id="rId10"/>
    <pivotCache cacheId="1031" r:id="rId11"/>
    <pivotCache cacheId="1034" r:id="rId12"/>
    <pivotCache cacheId="1037" r:id="rId13"/>
    <pivotCache cacheId="1040" r:id="rId14"/>
    <pivotCache cacheId="1043" r:id="rId15"/>
  </pivotCaches>
  <extLst>
    <ext xmlns:x14="http://schemas.microsoft.com/office/spreadsheetml/2009/9/main" uri="{876F7934-8845-4945-9796-88D515C7AA90}">
      <x14:pivotCaches>
        <pivotCache cacheId="67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32982c-423e-474f-aa16-8f26e6ce8b65" name="Hospital Emergency Room Data" connection="Query - Hospital Emergency Room Data"/>
          <x15:modelTable id="Calendar Table_0455a531-afc5-4b71-b56e-c9654261e810"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A24" i="1" l="1"/>
  <c r="B24" i="1"/>
  <c r="C24" i="1"/>
  <c r="B25" i="1"/>
  <c r="C25" i="1"/>
  <c r="A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A89726-4FBD-4890-91AD-661365DDA29B}" name="Query - Calendar Table" description="Connection to the 'Calendar Table' query in the workbook." type="100" refreshedVersion="8" minRefreshableVersion="5">
    <extLst>
      <ext xmlns:x15="http://schemas.microsoft.com/office/spreadsheetml/2010/11/main" uri="{DE250136-89BD-433C-8126-D09CA5730AF9}">
        <x15:connection id="c798cde0-a3aa-4926-8f4d-f9ea40f54b82"/>
      </ext>
    </extLst>
  </connection>
  <connection id="2" xr16:uid="{D872E746-8B7A-46CE-8680-87BAC223A191}"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9943659-0cd8-4706-94a2-8c6ed3a08252"/>
      </ext>
    </extLst>
  </connection>
  <connection id="3" xr16:uid="{7153F0D5-38DB-46E3-994C-35E059F7CA4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<sst xmlns="http://schemas.openxmlformats.org/spreadsheetml/2006/main" count="157" uniqueCount="76">
  <si>
    <t>Distinct Count of Patient Id</t>
  </si>
  <si>
    <t>No. of patient</t>
  </si>
  <si>
    <t>Average of Patient Waittime</t>
  </si>
  <si>
    <t>Average of Patient Satisfaction Score</t>
  </si>
  <si>
    <t>Grand Total</t>
  </si>
  <si>
    <t>2024</t>
  </si>
  <si>
    <t>Qtr2</t>
  </si>
  <si>
    <t>May</t>
  </si>
  <si>
    <t>Row Labels</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</si>
  <si>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</si>
  <si>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</si>
  <si>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</si>
  <si>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</si>
  <si>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</si>
  <si>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</si>
  <si>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</si>
  <si>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</si>
  <si>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</si>
  <si>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</si>
  <si>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</si>
  <si>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</si>
  <si>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</si>
  <si>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</si>
  <si>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</si>
  <si>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</si>
  <si>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</si>
  <si>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</si>
  <si>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</si>
  <si>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</si>
  <si>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</si>
  <si>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</si>
  <si>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</si>
  <si>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</si>
  <si>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</si>
  <si>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</si>
  <si>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</si>
  <si>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</si>
  <si>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</si>
  <si>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</si>
  <si>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</si>
  <si>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 xml:space="preserve">daily trends of no. of patient </t>
  </si>
  <si>
    <t xml:space="preserve">average wait time </t>
  </si>
  <si>
    <t>Delay</t>
  </si>
  <si>
    <t>Ontime</t>
  </si>
  <si>
    <t>Admitted</t>
  </si>
  <si>
    <t>Not Admitted</t>
  </si>
  <si>
    <t>Count of Patient Admission Flag</t>
  </si>
  <si>
    <t>Count of Patient Admission Flag2</t>
  </si>
  <si>
    <t xml:space="preserve">Admission Status </t>
  </si>
  <si>
    <t>% Status</t>
  </si>
  <si>
    <t>Chart</t>
  </si>
  <si>
    <t xml:space="preserve"> Patient</t>
  </si>
  <si>
    <t>0-9</t>
  </si>
  <si>
    <t>10-19</t>
  </si>
  <si>
    <t>20-29</t>
  </si>
  <si>
    <t>30-39</t>
  </si>
  <si>
    <t>40-49</t>
  </si>
  <si>
    <t>50-59</t>
  </si>
  <si>
    <t>60-69</t>
  </si>
  <si>
    <t>70-79</t>
  </si>
  <si>
    <t>Count of Patient Age</t>
  </si>
  <si>
    <t>Count of Patient Attend Status</t>
  </si>
  <si>
    <t>attended status</t>
  </si>
  <si>
    <t>Female</t>
  </si>
  <si>
    <t>Male</t>
  </si>
  <si>
    <t>Count of Patient Gender</t>
  </si>
  <si>
    <t>gender wise</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</si>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</sst>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10" fontId="0" fillId="0" borderId="0" xfId="0" applyNumberFormat="1"/>
    <xf numFmtId="0" fontId="0" fillId="3" borderId="0" xfId="0" applyFill="1" applyAlignment="1">
      <alignment horizontal="center"/>
    </xf>
    <xf numFmtId="0" fontId="0" fillId="0" borderId="0" xfId="0" applyAlignment="1">
      <alignment horizontal="center"/>
    </xf>
    <xf numFmtId="9" fontId="0" fillId="0" borderId="0" xfId="1" applyFont="1" applyAlignment="1">
      <alignment horizontal="center"/>
    </xf>
    <xf numFmtId="1" fontId="0" fillId="0" borderId="0" xfId="0" applyNumberFormat="1"/>
  </cellXfs>
  <cellStyles count="2">
    <cellStyle name="Normal" xfId="0" builtinId="0"/>
    <cellStyle name="Percent" xfId="1" builtinId="5"/>
  </cellStyles>
  <dxfs count="146">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border diagonalUp="0" diagonalDown="0">
        <left/>
        <right/>
        <top/>
        <bottom/>
        <vertical/>
        <horizontal/>
      </border>
    </dxf>
    <dxf>
      <border diagonalUp="0" diagonalDown="0">
        <left/>
        <right/>
        <top/>
        <bottom/>
        <vertical/>
        <horizontal/>
      </border>
    </dxf>
    <dxf>
      <border diagonalUp="0" diagonalDown="0">
        <left/>
        <right/>
        <top/>
        <bottom/>
        <vertical/>
        <horizontal/>
      </border>
    </dxf>
    <dxf>
      <numFmt numFmtId="2" formatCode="0.00"/>
    </dxf>
    <dxf>
      <numFmt numFmtId="2" formatCode="0.00"/>
    </dxf>
  </dxfs>
  <tableStyles count="4" defaultTableStyle="TableStyleMedium2" defaultPivotStyle="PivotStyleLight16">
    <tableStyle name="Slicer Style 1" pivot="0" table="0" count="1" xr9:uid="{E8C56B0E-EFB4-488C-9845-40122C960E03}"/>
    <tableStyle name="Slicer Style 2" pivot="0" table="0" count="1" xr9:uid="{C2FF4DF3-AECA-4282-931A-0D7C252825E6}">
      <tableStyleElement type="wholeTable" dxfId="143"/>
    </tableStyle>
    <tableStyle name="Slicer Style 3" pivot="0" table="0" count="1" xr9:uid="{304784E8-5269-4B33-B95A-9DE933AAA2DC}">
      <tableStyleElement type="wholeTable" dxfId="142"/>
    </tableStyle>
    <tableStyle name="Slicer Style 4" pivot="0" table="0" count="1" xr9:uid="{A848A460-8251-4191-8CF8-D7CCC734B6BB}">
      <tableStyleElement type="wholeTable" dxfId="141"/>
    </tableStyle>
  </tableStyle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C14B51B7-D83E-490F-A5E7-4957F6A391A6}" type="CELLRANGE">
                  <a:rPr lang="en-US"/>
                  <a:pPr>
                    <a:defRPr sz="6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ysClr val="windowText" lastClr="000000">
                        <a:lumMod val="75000"/>
                        <a:lumOff val="25000"/>
                      </a:sysClr>
                    </a:solidFill>
                    <a:latin typeface="+mn-lt"/>
                    <a:ea typeface="+mn-ea"/>
                    <a:cs typeface="+mn-cs"/>
                  </a:defRPr>
                </a:pPr>
                <a:fld id="{2D5955CB-DFE6-4F18-855C-D569798B10BE}" type="CELLRANGE">
                  <a:rPr lang="en-US"/>
                  <a:pPr>
                    <a:defRPr sz="600">
                      <a:solidFill>
                        <a:sysClr val="windowText" lastClr="000000">
                          <a:lumMod val="75000"/>
                          <a:lumOff val="25000"/>
                        </a:sysClr>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8024825021872265"/>
          <c:y val="7.407407407407407E-2"/>
          <c:w val="0.75437685914260721"/>
          <c:h val="0.8416746864975212"/>
        </c:manualLayout>
      </c:layout>
      <c:barChart>
        <c:barDir val="bar"/>
        <c:grouping val="clustered"/>
        <c:varyColors val="0"/>
        <c:ser>
          <c:idx val="0"/>
          <c:order val="0"/>
          <c:tx>
            <c:strRef>
              <c:f>('Pivot Report '!$C$19,'Pivot Report '!$C$20)</c:f>
              <c:strCache>
                <c:ptCount val="1"/>
                <c:pt idx="0">
                  <c:v>Count of Patient Admission Flag</c:v>
                </c:pt>
              </c:strCache>
            </c:strRef>
          </c:tx>
          <c:spPr>
            <a:solidFill>
              <a:schemeClr val="accent1"/>
            </a:solidFill>
            <a:ln>
              <a:noFill/>
            </a:ln>
            <a:effectLst/>
          </c:spPr>
          <c:invertIfNegative val="0"/>
          <c:dLbls>
            <c:dLbl>
              <c:idx val="0"/>
              <c:tx>
                <c:rich>
                  <a:bodyPr/>
                  <a:lstStyle/>
                  <a:p>
                    <a:fld id="{C14B51B7-D83E-490F-A5E7-4957F6A391A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rot="0" spcFirstLastPara="1" vertOverflow="ellipsis" vert="horz" wrap="square" lIns="38100" tIns="19050" rIns="38100" bIns="19050" anchor="ctr" anchorCtr="1">
                    <a:spAutoFit/>
                  </a:bodyPr>
                  <a:lstStyle/>
                  <a:p>
                    <a:pPr>
                      <a:defRPr sz="600" b="0" i="0" u="none" strike="noStrike" kern="1200" baseline="0">
                        <a:solidFill>
                          <a:sysClr val="windowText" lastClr="000000">
                            <a:lumMod val="75000"/>
                            <a:lumOff val="25000"/>
                          </a:sysClr>
                        </a:solidFill>
                        <a:latin typeface="+mn-lt"/>
                        <a:ea typeface="+mn-ea"/>
                        <a:cs typeface="+mn-cs"/>
                      </a:defRPr>
                    </a:pPr>
                    <a:fld id="{2D5955CB-DFE6-4F18-855C-D569798B10BE}" type="CELLRANGE">
                      <a:rPr lang="en-US"/>
                      <a:pPr>
                        <a:defRPr sz="600">
                          <a:solidFill>
                            <a:sysClr val="windowText" lastClr="000000">
                              <a:lumMod val="75000"/>
                              <a:lumOff val="25000"/>
                            </a:sysClr>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lumMod val="75000"/>
                          <a:lumOff val="25000"/>
                        </a:sys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 '!$C$19,'Pivot Report '!$C$20)</c:f>
              <c:strCache>
                <c:ptCount val="2"/>
                <c:pt idx="0">
                  <c:v>Admitted</c:v>
                </c:pt>
                <c:pt idx="1">
                  <c:v>Not Admitted</c:v>
                </c:pt>
              </c:strCache>
            </c:strRef>
          </c:cat>
          <c:val>
            <c:numRef>
              <c:f>('Pivot Report '!$C$19,'Pivot Report '!$C$20)</c:f>
              <c:numCache>
                <c:formatCode>0.00</c:formatCode>
                <c:ptCount val="2"/>
                <c:pt idx="0">
                  <c:v>266</c:v>
                </c:pt>
                <c:pt idx="1">
                  <c:v>253</c:v>
                </c:pt>
              </c:numCache>
            </c:numRef>
          </c:val>
          <c:extLst>
            <c:ext xmlns:c16="http://schemas.microsoft.com/office/drawing/2014/chart" uri="{C3380CC4-5D6E-409C-BE32-E72D297353CC}">
              <c16:uniqueId val="{00000005-F16C-4898-A0D6-9541BE981921}"/>
            </c:ext>
          </c:extLst>
        </c:ser>
        <c:ser>
          <c:idx val="1"/>
          <c:order val="1"/>
          <c:tx>
            <c:strRef>
              <c:f>('Pivot Report '!$C$19,'Pivot Report '!$C$20)</c:f>
              <c:strCache>
                <c:ptCount val="1"/>
                <c:pt idx="0">
                  <c:v>Count of Patient Admission Flag2</c:v>
                </c:pt>
              </c:strCache>
            </c:strRef>
          </c:tx>
          <c:spPr>
            <a:solidFill>
              <a:schemeClr val="accent2"/>
            </a:solidFill>
            <a:ln>
              <a:noFill/>
            </a:ln>
            <a:effectLst/>
          </c:spPr>
          <c:invertIfNegative val="0"/>
          <c:cat>
            <c:strRef>
              <c:f>('Pivot Report '!$C$19,'Pivot Report '!$C$20)</c:f>
              <c:strCache>
                <c:ptCount val="2"/>
                <c:pt idx="0">
                  <c:v>Admitted</c:v>
                </c:pt>
                <c:pt idx="1">
                  <c:v>Not Admitted</c:v>
                </c:pt>
              </c:strCache>
            </c:strRef>
          </c:cat>
          <c:val>
            <c:numRef>
              <c:f>('Pivot Report '!$C$19,'Pivot Report '!$C$20)</c:f>
              <c:numCache>
                <c:formatCode>0.00%</c:formatCode>
                <c:ptCount val="2"/>
                <c:pt idx="0">
                  <c:v>0.51252408477842004</c:v>
                </c:pt>
                <c:pt idx="1">
                  <c:v>0.48747591522157996</c:v>
                </c:pt>
              </c:numCache>
            </c:numRef>
          </c:val>
          <c:extLst>
            <c:ext xmlns:c16="http://schemas.microsoft.com/office/drawing/2014/chart" uri="{C3380CC4-5D6E-409C-BE32-E72D297353CC}">
              <c16:uniqueId val="{00000006-F16C-4898-A0D6-9541BE981921}"/>
            </c:ext>
          </c:extLst>
        </c:ser>
        <c:dLbls>
          <c:showLegendKey val="0"/>
          <c:showVal val="0"/>
          <c:showCatName val="0"/>
          <c:showSerName val="0"/>
          <c:showPercent val="0"/>
          <c:showBubbleSize val="0"/>
        </c:dLbls>
        <c:gapWidth val="182"/>
        <c:axId val="677250831"/>
        <c:axId val="677251311"/>
      </c:barChart>
      <c:catAx>
        <c:axId val="67725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77251311"/>
        <c:crosses val="autoZero"/>
        <c:auto val="1"/>
        <c:lblAlgn val="ctr"/>
        <c:lblOffset val="100"/>
        <c:noMultiLvlLbl val="0"/>
      </c:catAx>
      <c:valAx>
        <c:axId val="677251311"/>
        <c:scaling>
          <c:orientation val="minMax"/>
        </c:scaling>
        <c:delete val="1"/>
        <c:axPos val="b"/>
        <c:numFmt formatCode="0.00" sourceLinked="1"/>
        <c:majorTickMark val="none"/>
        <c:minorTickMark val="none"/>
        <c:tickLblPos val="nextTo"/>
        <c:crossAx val="67725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176825119082"/>
          <c:y val="0.28392765559477479"/>
          <c:w val="0.81001727115716748"/>
          <c:h val="0.39406271584472996"/>
        </c:manualLayout>
      </c:layout>
      <c:areaChart>
        <c:grouping val="standard"/>
        <c:varyColors val="0"/>
        <c:ser>
          <c:idx val="0"/>
          <c:order val="0"/>
          <c:tx>
            <c:v>Series1</c:v>
          </c:tx>
          <c:spPr>
            <a:solidFill>
              <a:schemeClr val="accent1"/>
            </a:solidFill>
            <a:ln>
              <a:noFill/>
            </a:ln>
            <a:effectLst/>
          </c:spPr>
          <c:cat>
            <c:strLit>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Lit>
          </c:cat>
          <c:val>
            <c:numLit>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Lit>
          </c:val>
          <c:extLst>
            <c:ext xmlns:c16="http://schemas.microsoft.com/office/drawing/2014/chart" uri="{C3380CC4-5D6E-409C-BE32-E72D297353CC}">
              <c16:uniqueId val="{00000000-A8F8-4F5F-A8E2-0B074675A614}"/>
            </c:ext>
          </c:extLst>
        </c:ser>
        <c:dLbls>
          <c:showLegendKey val="0"/>
          <c:showVal val="0"/>
          <c:showCatName val="0"/>
          <c:showSerName val="0"/>
          <c:showPercent val="0"/>
          <c:showBubbleSize val="0"/>
        </c:dLbls>
        <c:axId val="674712431"/>
        <c:axId val="674708111"/>
      </c:areaChart>
      <c:catAx>
        <c:axId val="674712431"/>
        <c:scaling>
          <c:orientation val="minMax"/>
        </c:scaling>
        <c:delete val="1"/>
        <c:axPos val="b"/>
        <c:numFmt formatCode="General" sourceLinked="1"/>
        <c:majorTickMark val="out"/>
        <c:minorTickMark val="none"/>
        <c:tickLblPos val="nextTo"/>
        <c:crossAx val="674708111"/>
        <c:crosses val="autoZero"/>
        <c:auto val="1"/>
        <c:lblAlgn val="ctr"/>
        <c:lblOffset val="100"/>
        <c:noMultiLvlLbl val="0"/>
      </c:catAx>
      <c:valAx>
        <c:axId val="674708111"/>
        <c:scaling>
          <c:orientation val="minMax"/>
        </c:scaling>
        <c:delete val="1"/>
        <c:axPos val="l"/>
        <c:numFmt formatCode="General" sourceLinked="1"/>
        <c:majorTickMark val="none"/>
        <c:minorTickMark val="none"/>
        <c:tickLblPos val="nextTo"/>
        <c:crossAx val="6747124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'!$J$4</c:f>
              <c:strCache>
                <c:ptCount val="1"/>
                <c:pt idx="0">
                  <c:v>Total</c:v>
                </c:pt>
              </c:strCache>
            </c:strRef>
          </c:tx>
          <c:spPr>
            <a:solidFill>
              <a:schemeClr val="accent1"/>
            </a:solidFill>
            <a:ln w="25400">
              <a:noFill/>
            </a:ln>
            <a:effectLst/>
          </c:spPr>
          <c:cat>
            <c:strRef>
              <c:f>'Pivot Report '!$I$5:$I$36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9816-48A8-AE1F-CF9BC054384D}"/>
            </c:ext>
          </c:extLst>
        </c:ser>
        <c:dLbls>
          <c:showLegendKey val="0"/>
          <c:showVal val="0"/>
          <c:showCatName val="0"/>
          <c:showSerName val="0"/>
          <c:showPercent val="0"/>
          <c:showBubbleSize val="0"/>
        </c:dLbls>
        <c:axId val="948609599"/>
        <c:axId val="948618239"/>
      </c:areaChart>
      <c:catAx>
        <c:axId val="948609599"/>
        <c:scaling>
          <c:orientation val="minMax"/>
        </c:scaling>
        <c:delete val="1"/>
        <c:axPos val="b"/>
        <c:numFmt formatCode="General" sourceLinked="1"/>
        <c:majorTickMark val="out"/>
        <c:minorTickMark val="none"/>
        <c:tickLblPos val="nextTo"/>
        <c:crossAx val="948618239"/>
        <c:crosses val="autoZero"/>
        <c:auto val="1"/>
        <c:lblAlgn val="ctr"/>
        <c:lblOffset val="100"/>
        <c:noMultiLvlLbl val="0"/>
      </c:catAx>
      <c:valAx>
        <c:axId val="948618239"/>
        <c:scaling>
          <c:orientation val="minMax"/>
        </c:scaling>
        <c:delete val="1"/>
        <c:axPos val="l"/>
        <c:numFmt formatCode="0.00" sourceLinked="1"/>
        <c:majorTickMark val="none"/>
        <c:minorTickMark val="none"/>
        <c:tickLblPos val="nextTo"/>
        <c:crossAx val="94860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50387443119565645"/>
          <c:w val="1"/>
          <c:h val="0.4961255688043435"/>
        </c:manualLayout>
      </c:layout>
      <c:areaChart>
        <c:grouping val="standard"/>
        <c:varyColors val="0"/>
        <c:ser>
          <c:idx val="0"/>
          <c:order val="0"/>
          <c:tx>
            <c:strRef>
              <c:f>'Pivot Report '!$N$4</c:f>
              <c:strCache>
                <c:ptCount val="1"/>
                <c:pt idx="0">
                  <c:v>Total</c:v>
                </c:pt>
              </c:strCache>
            </c:strRef>
          </c:tx>
          <c:spPr>
            <a:solidFill>
              <a:schemeClr val="accent1"/>
            </a:solidFill>
            <a:ln w="25400">
              <a:noFill/>
            </a:ln>
            <a:effectLst/>
          </c:spPr>
          <c:cat>
            <c:strRef>
              <c:f>'Pivot Report '!$M$5:$M$36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'!$N$5:$N$36</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1-BF78-4714-8B8E-C0D2DFD45E2F}"/>
            </c:ext>
          </c:extLst>
        </c:ser>
        <c:dLbls>
          <c:showLegendKey val="0"/>
          <c:showVal val="0"/>
          <c:showCatName val="0"/>
          <c:showSerName val="0"/>
          <c:showPercent val="0"/>
          <c:showBubbleSize val="0"/>
        </c:dLbls>
        <c:axId val="952342831"/>
        <c:axId val="952343311"/>
      </c:areaChart>
      <c:catAx>
        <c:axId val="952342831"/>
        <c:scaling>
          <c:orientation val="minMax"/>
        </c:scaling>
        <c:delete val="1"/>
        <c:axPos val="b"/>
        <c:numFmt formatCode="General" sourceLinked="1"/>
        <c:majorTickMark val="out"/>
        <c:minorTickMark val="none"/>
        <c:tickLblPos val="nextTo"/>
        <c:crossAx val="952343311"/>
        <c:crosses val="autoZero"/>
        <c:auto val="1"/>
        <c:lblAlgn val="ctr"/>
        <c:lblOffset val="100"/>
        <c:noMultiLvlLbl val="0"/>
      </c:catAx>
      <c:valAx>
        <c:axId val="952343311"/>
        <c:scaling>
          <c:orientation val="minMax"/>
        </c:scaling>
        <c:delete val="1"/>
        <c:axPos val="l"/>
        <c:numFmt formatCode="0.00" sourceLinked="1"/>
        <c:majorTickMark val="none"/>
        <c:minorTickMark val="none"/>
        <c:tickLblPos val="nextTo"/>
        <c:crossAx val="952342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!PivotTable10</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'!$A$28:$A$36</c:f>
              <c:strCache>
                <c:ptCount val="8"/>
                <c:pt idx="0">
                  <c:v>0-9</c:v>
                </c:pt>
                <c:pt idx="1">
                  <c:v>10-19</c:v>
                </c:pt>
                <c:pt idx="2">
                  <c:v>20-29</c:v>
                </c:pt>
                <c:pt idx="3">
                  <c:v>30-39</c:v>
                </c:pt>
                <c:pt idx="4">
                  <c:v>40-49</c:v>
                </c:pt>
                <c:pt idx="5">
                  <c:v>50-59</c:v>
                </c:pt>
                <c:pt idx="6">
                  <c:v>60-69</c:v>
                </c:pt>
                <c:pt idx="7">
                  <c:v>70-79</c:v>
                </c:pt>
              </c:strCache>
            </c:strRef>
          </c:cat>
          <c:val>
            <c:numRef>
              <c:f>'Pivot Report '!$B$28:$B$36</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1-254D-4595-BA9A-61AA6D3A0773}"/>
            </c:ext>
          </c:extLst>
        </c:ser>
        <c:dLbls>
          <c:showLegendKey val="0"/>
          <c:showVal val="0"/>
          <c:showCatName val="0"/>
          <c:showSerName val="0"/>
          <c:showPercent val="0"/>
          <c:showBubbleSize val="0"/>
        </c:dLbls>
        <c:gapWidth val="219"/>
        <c:overlap val="-27"/>
        <c:axId val="672553743"/>
        <c:axId val="1583765551"/>
      </c:barChart>
      <c:catAx>
        <c:axId val="67255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65551"/>
        <c:crosses val="autoZero"/>
        <c:auto val="1"/>
        <c:lblAlgn val="ctr"/>
        <c:lblOffset val="100"/>
        <c:noMultiLvlLbl val="0"/>
      </c:catAx>
      <c:valAx>
        <c:axId val="1583765551"/>
        <c:scaling>
          <c:orientation val="minMax"/>
        </c:scaling>
        <c:delete val="1"/>
        <c:axPos val="l"/>
        <c:numFmt formatCode="0.00" sourceLinked="1"/>
        <c:majorTickMark val="none"/>
        <c:minorTickMark val="none"/>
        <c:tickLblPos val="nextTo"/>
        <c:crossAx val="67255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!PivotTable11</c:name>
    <c:fmtId val="1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Report '!$B$39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'!$A$40:$A$42</c:f>
              <c:strCache>
                <c:ptCount val="2"/>
                <c:pt idx="0">
                  <c:v>Delay</c:v>
                </c:pt>
                <c:pt idx="1">
                  <c:v>Ontime</c:v>
                </c:pt>
              </c:strCache>
            </c:strRef>
          </c:cat>
          <c:val>
            <c:numRef>
              <c:f>'Pivot Report '!$B$40:$B$42</c:f>
              <c:numCache>
                <c:formatCode>0</c:formatCode>
                <c:ptCount val="2"/>
                <c:pt idx="0">
                  <c:v>324</c:v>
                </c:pt>
                <c:pt idx="1">
                  <c:v>195</c:v>
                </c:pt>
              </c:numCache>
            </c:numRef>
          </c:val>
          <c:extLst>
            <c:ext xmlns:c16="http://schemas.microsoft.com/office/drawing/2014/chart" uri="{C3380CC4-5D6E-409C-BE32-E72D297353CC}">
              <c16:uniqueId val="{00000005-C388-441D-BFFA-B631C20BAEE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24322044695869327"/>
          <c:y val="3.4843221507321422E-2"/>
          <c:w val="0.50277161956697158"/>
          <c:h val="0.1270332643022964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!PivotTable12</c:name>
    <c:fmtId val="3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Report '!$B$46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 '!$A$47:$A$49</c:f>
              <c:strCache>
                <c:ptCount val="2"/>
                <c:pt idx="0">
                  <c:v>Female</c:v>
                </c:pt>
                <c:pt idx="1">
                  <c:v>Male</c:v>
                </c:pt>
              </c:strCache>
            </c:strRef>
          </c:cat>
          <c:val>
            <c:numRef>
              <c:f>'Pivot Report '!$B$47:$B$49</c:f>
              <c:numCache>
                <c:formatCode>0</c:formatCode>
                <c:ptCount val="2"/>
                <c:pt idx="0">
                  <c:v>254</c:v>
                </c:pt>
                <c:pt idx="1">
                  <c:v>265</c:v>
                </c:pt>
              </c:numCache>
            </c:numRef>
          </c:val>
          <c:extLst>
            <c:ext xmlns:c16="http://schemas.microsoft.com/office/drawing/2014/chart" uri="{C3380CC4-5D6E-409C-BE32-E72D297353CC}">
              <c16:uniqueId val="{00000005-311C-4563-BBE3-E38DE50CA33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 '!$B$53</c:f>
              <c:strCache>
                <c:ptCount val="1"/>
                <c:pt idx="0">
                  <c:v>Total</c:v>
                </c:pt>
              </c:strCache>
            </c:strRef>
          </c:tx>
          <c:spPr>
            <a:solidFill>
              <a:schemeClr val="accent1"/>
            </a:solidFill>
            <a:ln>
              <a:noFill/>
            </a:ln>
            <a:effectLst/>
          </c:spPr>
          <c:invertIfNegative val="0"/>
          <c:cat>
            <c:strRef>
              <c:f>'Pivot Report '!$A$54:$A$62</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 Report '!$B$54:$B$62</c:f>
              <c:numCache>
                <c:formatCode>0</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1-DF10-412C-A1B3-F60FD933689C}"/>
            </c:ext>
          </c:extLst>
        </c:ser>
        <c:dLbls>
          <c:showLegendKey val="0"/>
          <c:showVal val="0"/>
          <c:showCatName val="0"/>
          <c:showSerName val="0"/>
          <c:showPercent val="0"/>
          <c:showBubbleSize val="0"/>
        </c:dLbls>
        <c:gapWidth val="182"/>
        <c:axId val="948640799"/>
        <c:axId val="948632639"/>
      </c:barChart>
      <c:catAx>
        <c:axId val="94864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632639"/>
        <c:crosses val="autoZero"/>
        <c:auto val="1"/>
        <c:lblAlgn val="ctr"/>
        <c:lblOffset val="100"/>
        <c:noMultiLvlLbl val="0"/>
      </c:catAx>
      <c:valAx>
        <c:axId val="948632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64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[h.xlsx]Pivot Report !PivotTable6</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25400">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505050505050504E-2"/>
          <c:y val="7.8853046594982074E-2"/>
          <c:w val="0.9494949494949495"/>
          <c:h val="0.92114695340501795"/>
        </c:manualLayout>
      </c:layout>
      <c:areaChart>
        <c:grouping val="standard"/>
        <c:varyColors val="0"/>
        <c:ser>
          <c:idx val="0"/>
          <c:order val="0"/>
          <c:tx>
            <c:strRef>
              <c:f>'Pivot Report '!$J$4</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 '!$I$5:$I$36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 '!$J$5:$J$36</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1-BA1F-475A-B8AB-34AC2CE55EF7}"/>
            </c:ext>
          </c:extLst>
        </c:ser>
        <c:dLbls>
          <c:showLegendKey val="0"/>
          <c:showVal val="0"/>
          <c:showCatName val="0"/>
          <c:showSerName val="0"/>
          <c:showPercent val="0"/>
          <c:showBubbleSize val="0"/>
        </c:dLbls>
        <c:axId val="948609599"/>
        <c:axId val="948618239"/>
      </c:areaChart>
      <c:catAx>
        <c:axId val="948609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8618239"/>
        <c:crosses val="autoZero"/>
        <c:auto val="1"/>
        <c:lblAlgn val="ctr"/>
        <c:lblOffset val="100"/>
        <c:noMultiLvlLbl val="0"/>
      </c:catAx>
      <c:valAx>
        <c:axId val="9486182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8609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9.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11430</xdr:colOff>
      <xdr:row>22</xdr:row>
      <xdr:rowOff>160020</xdr:rowOff>
    </xdr:from>
    <xdr:to>
      <xdr:col>4</xdr:col>
      <xdr:colOff>15240</xdr:colOff>
      <xdr:row>25</xdr:row>
      <xdr:rowOff>45720</xdr:rowOff>
    </xdr:to>
    <xdr:graphicFrame macro="">
      <xdr:nvGraphicFramePr>
        <xdr:cNvPr id="7" name="Chart 6">
          <a:extLst>
            <a:ext uri="{FF2B5EF4-FFF2-40B4-BE49-F238E27FC236}">
              <a16:creationId xmlns:a16="http://schemas.microsoft.com/office/drawing/2014/main" id="{3633A700-A28E-177E-C438-3BA15B113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60960</xdr:rowOff>
    </xdr:from>
    <xdr:to>
      <xdr:col>6</xdr:col>
      <xdr:colOff>68580</xdr:colOff>
      <xdr:row>5</xdr:row>
      <xdr:rowOff>0</xdr:rowOff>
    </xdr:to>
    <xdr:sp macro="" textlink="">
      <xdr:nvSpPr>
        <xdr:cNvPr id="2" name="Rectangle: Rounded Corners 1">
          <a:extLst>
            <a:ext uri="{FF2B5EF4-FFF2-40B4-BE49-F238E27FC236}">
              <a16:creationId xmlns:a16="http://schemas.microsoft.com/office/drawing/2014/main" id="{35FFA571-765E-29BF-0E8E-C380CB573FDC}"/>
            </a:ext>
          </a:extLst>
        </xdr:cNvPr>
        <xdr:cNvSpPr/>
      </xdr:nvSpPr>
      <xdr:spPr>
        <a:xfrm>
          <a:off x="91440" y="60960"/>
          <a:ext cx="3939540" cy="853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129540</xdr:colOff>
      <xdr:row>0</xdr:row>
      <xdr:rowOff>60960</xdr:rowOff>
    </xdr:from>
    <xdr:to>
      <xdr:col>9</xdr:col>
      <xdr:colOff>45720</xdr:colOff>
      <xdr:row>5</xdr:row>
      <xdr:rowOff>0</xdr:rowOff>
    </xdr:to>
    <xdr:sp macro="" textlink="">
      <xdr:nvSpPr>
        <xdr:cNvPr id="3" name="Rectangle: Rounded Corners 2">
          <a:extLst>
            <a:ext uri="{FF2B5EF4-FFF2-40B4-BE49-F238E27FC236}">
              <a16:creationId xmlns:a16="http://schemas.microsoft.com/office/drawing/2014/main" id="{A8F84A1D-B445-82EA-8E3E-DBF730C10E21}"/>
            </a:ext>
          </a:extLst>
        </xdr:cNvPr>
        <xdr:cNvSpPr/>
      </xdr:nvSpPr>
      <xdr:spPr>
        <a:xfrm>
          <a:off x="4091940" y="60960"/>
          <a:ext cx="1950720" cy="8534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121920</xdr:colOff>
      <xdr:row>0</xdr:row>
      <xdr:rowOff>64997</xdr:rowOff>
    </xdr:from>
    <xdr:to>
      <xdr:col>13</xdr:col>
      <xdr:colOff>129540</xdr:colOff>
      <xdr:row>13</xdr:row>
      <xdr:rowOff>38100</xdr:rowOff>
    </xdr:to>
    <xdr:sp macro="" textlink="">
      <xdr:nvSpPr>
        <xdr:cNvPr id="4" name="Rectangle: Rounded Corners 3">
          <a:extLst>
            <a:ext uri="{FF2B5EF4-FFF2-40B4-BE49-F238E27FC236}">
              <a16:creationId xmlns:a16="http://schemas.microsoft.com/office/drawing/2014/main" id="{9F98D5DC-98F5-284B-D2D6-705388176E2F}"/>
            </a:ext>
          </a:extLst>
        </xdr:cNvPr>
        <xdr:cNvSpPr/>
      </xdr:nvSpPr>
      <xdr:spPr>
        <a:xfrm>
          <a:off x="5608320" y="64997"/>
          <a:ext cx="2446020" cy="2350543"/>
        </a:xfrm>
        <a:prstGeom prst="roundRect">
          <a:avLst>
            <a:gd name="adj" fmla="val 78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53340</xdr:colOff>
      <xdr:row>5</xdr:row>
      <xdr:rowOff>76200</xdr:rowOff>
    </xdr:from>
    <xdr:to>
      <xdr:col>1</xdr:col>
      <xdr:colOff>426720</xdr:colOff>
      <xdr:row>25</xdr:row>
      <xdr:rowOff>99060</xdr:rowOff>
    </xdr:to>
    <xdr:sp macro="" textlink="">
      <xdr:nvSpPr>
        <xdr:cNvPr id="6" name="Rectangle: Rounded Corners 5">
          <a:extLst>
            <a:ext uri="{FF2B5EF4-FFF2-40B4-BE49-F238E27FC236}">
              <a16:creationId xmlns:a16="http://schemas.microsoft.com/office/drawing/2014/main" id="{E53A82C3-19C3-8ADF-53D0-5E5E3D486DAD}"/>
            </a:ext>
          </a:extLst>
        </xdr:cNvPr>
        <xdr:cNvSpPr/>
      </xdr:nvSpPr>
      <xdr:spPr>
        <a:xfrm>
          <a:off x="53340" y="990600"/>
          <a:ext cx="982980" cy="3680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213360</xdr:colOff>
      <xdr:row>0</xdr:row>
      <xdr:rowOff>45720</xdr:rowOff>
    </xdr:from>
    <xdr:to>
      <xdr:col>17</xdr:col>
      <xdr:colOff>373380</xdr:colOff>
      <xdr:row>13</xdr:row>
      <xdr:rowOff>15240</xdr:rowOff>
    </xdr:to>
    <xdr:sp macro="" textlink="">
      <xdr:nvSpPr>
        <xdr:cNvPr id="7" name="Rectangle: Rounded Corners 6">
          <a:extLst>
            <a:ext uri="{FF2B5EF4-FFF2-40B4-BE49-F238E27FC236}">
              <a16:creationId xmlns:a16="http://schemas.microsoft.com/office/drawing/2014/main" id="{23147A1B-0CF5-5848-9F0D-3D60E246DB99}"/>
            </a:ext>
          </a:extLst>
        </xdr:cNvPr>
        <xdr:cNvSpPr/>
      </xdr:nvSpPr>
      <xdr:spPr>
        <a:xfrm>
          <a:off x="8648700" y="45720"/>
          <a:ext cx="2598420" cy="2346960"/>
        </a:xfrm>
        <a:prstGeom prst="roundRect">
          <a:avLst>
            <a:gd name="adj" fmla="val 78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388620</xdr:colOff>
      <xdr:row>5</xdr:row>
      <xdr:rowOff>76200</xdr:rowOff>
    </xdr:from>
    <xdr:to>
      <xdr:col>9</xdr:col>
      <xdr:colOff>45720</xdr:colOff>
      <xdr:row>9</xdr:row>
      <xdr:rowOff>175260</xdr:rowOff>
    </xdr:to>
    <xdr:sp macro="" textlink="">
      <xdr:nvSpPr>
        <xdr:cNvPr id="8" name="Rectangle: Rounded Corners 7">
          <a:extLst>
            <a:ext uri="{FF2B5EF4-FFF2-40B4-BE49-F238E27FC236}">
              <a16:creationId xmlns:a16="http://schemas.microsoft.com/office/drawing/2014/main" id="{BA6E3B68-0342-5B67-CB47-4D4E0B5ED49C}"/>
            </a:ext>
          </a:extLst>
        </xdr:cNvPr>
        <xdr:cNvSpPr/>
      </xdr:nvSpPr>
      <xdr:spPr>
        <a:xfrm>
          <a:off x="4351020" y="990600"/>
          <a:ext cx="1691640" cy="830580"/>
        </a:xfrm>
        <a:prstGeom prst="roundRect">
          <a:avLst>
            <a:gd name="adj" fmla="val 56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5</xdr:row>
      <xdr:rowOff>76200</xdr:rowOff>
    </xdr:from>
    <xdr:to>
      <xdr:col>6</xdr:col>
      <xdr:colOff>335280</xdr:colOff>
      <xdr:row>9</xdr:row>
      <xdr:rowOff>175260</xdr:rowOff>
    </xdr:to>
    <xdr:sp macro="" textlink="">
      <xdr:nvSpPr>
        <xdr:cNvPr id="9" name="Rectangle: Rounded Corners 8">
          <a:extLst>
            <a:ext uri="{FF2B5EF4-FFF2-40B4-BE49-F238E27FC236}">
              <a16:creationId xmlns:a16="http://schemas.microsoft.com/office/drawing/2014/main" id="{DD982ED1-0A76-3678-90D4-BCD602E43296}"/>
            </a:ext>
          </a:extLst>
        </xdr:cNvPr>
        <xdr:cNvSpPr/>
      </xdr:nvSpPr>
      <xdr:spPr>
        <a:xfrm>
          <a:off x="2644140" y="990600"/>
          <a:ext cx="1653540" cy="830580"/>
        </a:xfrm>
        <a:prstGeom prst="roundRect">
          <a:avLst>
            <a:gd name="adj" fmla="val 657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495300</xdr:colOff>
      <xdr:row>5</xdr:row>
      <xdr:rowOff>68580</xdr:rowOff>
    </xdr:from>
    <xdr:to>
      <xdr:col>4</xdr:col>
      <xdr:colOff>152400</xdr:colOff>
      <xdr:row>9</xdr:row>
      <xdr:rowOff>167640</xdr:rowOff>
    </xdr:to>
    <xdr:sp macro="" textlink="">
      <xdr:nvSpPr>
        <xdr:cNvPr id="10" name="Rectangle: Rounded Corners 9">
          <a:extLst>
            <a:ext uri="{FF2B5EF4-FFF2-40B4-BE49-F238E27FC236}">
              <a16:creationId xmlns:a16="http://schemas.microsoft.com/office/drawing/2014/main" id="{C3DD7C8B-7FC2-8D69-5093-70C0453DB015}"/>
            </a:ext>
          </a:extLst>
        </xdr:cNvPr>
        <xdr:cNvSpPr/>
      </xdr:nvSpPr>
      <xdr:spPr>
        <a:xfrm>
          <a:off x="1104900" y="982980"/>
          <a:ext cx="1485900" cy="830580"/>
        </a:xfrm>
        <a:prstGeom prst="roundRect">
          <a:avLst>
            <a:gd name="adj" fmla="val 841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487680</xdr:colOff>
      <xdr:row>15</xdr:row>
      <xdr:rowOff>114300</xdr:rowOff>
    </xdr:from>
    <xdr:to>
      <xdr:col>9</xdr:col>
      <xdr:colOff>38100</xdr:colOff>
      <xdr:row>25</xdr:row>
      <xdr:rowOff>83820</xdr:rowOff>
    </xdr:to>
    <xdr:sp macro="" textlink="">
      <xdr:nvSpPr>
        <xdr:cNvPr id="11" name="Rectangle: Rounded Corners 10">
          <a:extLst>
            <a:ext uri="{FF2B5EF4-FFF2-40B4-BE49-F238E27FC236}">
              <a16:creationId xmlns:a16="http://schemas.microsoft.com/office/drawing/2014/main" id="{2363CAD2-24EB-3C07-2374-817D25C8B098}"/>
            </a:ext>
          </a:extLst>
        </xdr:cNvPr>
        <xdr:cNvSpPr/>
      </xdr:nvSpPr>
      <xdr:spPr>
        <a:xfrm>
          <a:off x="1097280" y="2857500"/>
          <a:ext cx="4937760" cy="1798320"/>
        </a:xfrm>
        <a:prstGeom prst="roundRect">
          <a:avLst>
            <a:gd name="adj" fmla="val 59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487680</xdr:colOff>
      <xdr:row>10</xdr:row>
      <xdr:rowOff>83820</xdr:rowOff>
    </xdr:from>
    <xdr:to>
      <xdr:col>9</xdr:col>
      <xdr:colOff>53340</xdr:colOff>
      <xdr:row>15</xdr:row>
      <xdr:rowOff>60960</xdr:rowOff>
    </xdr:to>
    <xdr:sp macro="" textlink="">
      <xdr:nvSpPr>
        <xdr:cNvPr id="12" name="Rectangle: Rounded Corners 11">
          <a:extLst>
            <a:ext uri="{FF2B5EF4-FFF2-40B4-BE49-F238E27FC236}">
              <a16:creationId xmlns:a16="http://schemas.microsoft.com/office/drawing/2014/main" id="{180D139F-AAF5-972F-90E6-5C811550E3DF}"/>
            </a:ext>
          </a:extLst>
        </xdr:cNvPr>
        <xdr:cNvSpPr/>
      </xdr:nvSpPr>
      <xdr:spPr>
        <a:xfrm>
          <a:off x="1097280" y="1912620"/>
          <a:ext cx="4953000" cy="891540"/>
        </a:xfrm>
        <a:prstGeom prst="roundRect">
          <a:avLst>
            <a:gd name="adj" fmla="val 897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114300</xdr:colOff>
      <xdr:row>13</xdr:row>
      <xdr:rowOff>114301</xdr:rowOff>
    </xdr:from>
    <xdr:to>
      <xdr:col>17</xdr:col>
      <xdr:colOff>388620</xdr:colOff>
      <xdr:row>25</xdr:row>
      <xdr:rowOff>83821</xdr:rowOff>
    </xdr:to>
    <xdr:sp macro="" textlink="">
      <xdr:nvSpPr>
        <xdr:cNvPr id="13" name="Rectangle: Rounded Corners 12">
          <a:extLst>
            <a:ext uri="{FF2B5EF4-FFF2-40B4-BE49-F238E27FC236}">
              <a16:creationId xmlns:a16="http://schemas.microsoft.com/office/drawing/2014/main" id="{9FCF9B67-E380-2787-D7F7-3B2958F13AB6}"/>
            </a:ext>
          </a:extLst>
        </xdr:cNvPr>
        <xdr:cNvSpPr/>
      </xdr:nvSpPr>
      <xdr:spPr>
        <a:xfrm>
          <a:off x="6111240" y="2491741"/>
          <a:ext cx="5151120" cy="2164080"/>
        </a:xfrm>
        <a:prstGeom prst="roundRect">
          <a:avLst>
            <a:gd name="adj" fmla="val 586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548640</xdr:colOff>
      <xdr:row>0</xdr:row>
      <xdr:rowOff>152400</xdr:rowOff>
    </xdr:from>
    <xdr:to>
      <xdr:col>6</xdr:col>
      <xdr:colOff>304800</xdr:colOff>
      <xdr:row>4</xdr:row>
      <xdr:rowOff>83820</xdr:rowOff>
    </xdr:to>
    <xdr:sp macro="" textlink="">
      <xdr:nvSpPr>
        <xdr:cNvPr id="14" name="TextBox 13">
          <a:extLst>
            <a:ext uri="{FF2B5EF4-FFF2-40B4-BE49-F238E27FC236}">
              <a16:creationId xmlns:a16="http://schemas.microsoft.com/office/drawing/2014/main" id="{14AE85C9-690E-74E9-F9A9-B11AC0D37611}"/>
            </a:ext>
          </a:extLst>
        </xdr:cNvPr>
        <xdr:cNvSpPr txBox="1"/>
      </xdr:nvSpPr>
      <xdr:spPr>
        <a:xfrm>
          <a:off x="548640" y="152400"/>
          <a:ext cx="371856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US" sz="1100"/>
            <a:t>                    </a:t>
          </a:r>
          <a:r>
            <a:rPr lang="en-US" sz="1800"/>
            <a:t>Hospital Emergency Room</a:t>
          </a:r>
        </a:p>
        <a:p>
          <a:pPr algn="l"/>
          <a:r>
            <a:rPr lang="en-US" sz="1600">
              <a:latin typeface="+mj-lt"/>
            </a:rPr>
            <a:t>                         </a:t>
          </a:r>
          <a:r>
            <a:rPr lang="en-US" sz="1600" b="1">
              <a:latin typeface="+mj-lt"/>
            </a:rPr>
            <a:t>Monthly</a:t>
          </a:r>
          <a:r>
            <a:rPr lang="en-US" sz="1600" b="1" baseline="0">
              <a:latin typeface="+mj-lt"/>
            </a:rPr>
            <a:t> Report</a:t>
          </a:r>
          <a:endParaRPr lang="en-US" sz="1600" b="1">
            <a:latin typeface="+mj-lt"/>
          </a:endParaRPr>
        </a:p>
      </xdr:txBody>
    </xdr:sp>
    <xdr:clientData/>
  </xdr:twoCellAnchor>
  <xdr:twoCellAnchor editAs="oneCell">
    <xdr:from>
      <xdr:col>0</xdr:col>
      <xdr:colOff>182881</xdr:colOff>
      <xdr:row>0</xdr:row>
      <xdr:rowOff>94488</xdr:rowOff>
    </xdr:from>
    <xdr:to>
      <xdr:col>1</xdr:col>
      <xdr:colOff>403861</xdr:colOff>
      <xdr:row>4</xdr:row>
      <xdr:rowOff>76200</xdr:rowOff>
    </xdr:to>
    <xdr:pic>
      <xdr:nvPicPr>
        <xdr:cNvPr id="18" name="Picture 17">
          <a:extLst>
            <a:ext uri="{FF2B5EF4-FFF2-40B4-BE49-F238E27FC236}">
              <a16:creationId xmlns:a16="http://schemas.microsoft.com/office/drawing/2014/main" id="{6F54B34A-E2EF-425B-CCAB-C4604C1D88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81" y="94488"/>
          <a:ext cx="830580" cy="713232"/>
        </a:xfrm>
        <a:prstGeom prst="rect">
          <a:avLst/>
        </a:prstGeom>
      </xdr:spPr>
    </xdr:pic>
    <xdr:clientData/>
  </xdr:twoCellAnchor>
  <xdr:twoCellAnchor>
    <xdr:from>
      <xdr:col>2</xdr:col>
      <xdr:colOff>152400</xdr:colOff>
      <xdr:row>6</xdr:row>
      <xdr:rowOff>99060</xdr:rowOff>
    </xdr:from>
    <xdr:to>
      <xdr:col>4</xdr:col>
      <xdr:colOff>114300</xdr:colOff>
      <xdr:row>7</xdr:row>
      <xdr:rowOff>175260</xdr:rowOff>
    </xdr:to>
    <xdr:sp macro="" textlink="">
      <xdr:nvSpPr>
        <xdr:cNvPr id="20" name="TextBox 19">
          <a:extLst>
            <a:ext uri="{FF2B5EF4-FFF2-40B4-BE49-F238E27FC236}">
              <a16:creationId xmlns:a16="http://schemas.microsoft.com/office/drawing/2014/main" id="{15A08EC4-1631-82EC-0031-7A1C8DD95C9E}"/>
            </a:ext>
          </a:extLst>
        </xdr:cNvPr>
        <xdr:cNvSpPr txBox="1"/>
      </xdr:nvSpPr>
      <xdr:spPr>
        <a:xfrm>
          <a:off x="1371600" y="1196340"/>
          <a:ext cx="11811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a:t>
          </a:r>
          <a:r>
            <a:rPr lang="en-US" sz="1100" baseline="0"/>
            <a:t> of Patient</a:t>
          </a:r>
        </a:p>
        <a:p>
          <a:endParaRPr lang="en-US" sz="1100"/>
        </a:p>
      </xdr:txBody>
    </xdr:sp>
    <xdr:clientData/>
  </xdr:twoCellAnchor>
  <xdr:twoCellAnchor>
    <xdr:from>
      <xdr:col>2</xdr:col>
      <xdr:colOff>373380</xdr:colOff>
      <xdr:row>7</xdr:row>
      <xdr:rowOff>129540</xdr:rowOff>
    </xdr:from>
    <xdr:to>
      <xdr:col>3</xdr:col>
      <xdr:colOff>365760</xdr:colOff>
      <xdr:row>9</xdr:row>
      <xdr:rowOff>0</xdr:rowOff>
    </xdr:to>
    <xdr:sp macro="" textlink="'Pivot Report '!A5">
      <xdr:nvSpPr>
        <xdr:cNvPr id="21" name="TextBox 20">
          <a:extLst>
            <a:ext uri="{FF2B5EF4-FFF2-40B4-BE49-F238E27FC236}">
              <a16:creationId xmlns:a16="http://schemas.microsoft.com/office/drawing/2014/main" id="{18D4F031-6E9A-3A7E-654A-6D1E5CD72032}"/>
            </a:ext>
          </a:extLst>
        </xdr:cNvPr>
        <xdr:cNvSpPr txBox="1"/>
      </xdr:nvSpPr>
      <xdr:spPr>
        <a:xfrm>
          <a:off x="1592580" y="1409700"/>
          <a:ext cx="6019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2D59E5-E24B-4F2A-A494-747127DE6354}" type="TxLink">
            <a:rPr lang="en-US" sz="1100" b="0" i="0" u="none" strike="noStrike">
              <a:solidFill>
                <a:srgbClr val="000000"/>
              </a:solidFill>
              <a:latin typeface="Calibri"/>
              <a:ea typeface="Calibri"/>
              <a:cs typeface="Calibri"/>
            </a:rPr>
            <a:t>519</a:t>
          </a:fld>
          <a:endParaRPr lang="en-US" sz="1100"/>
        </a:p>
      </xdr:txBody>
    </xdr:sp>
    <xdr:clientData/>
  </xdr:twoCellAnchor>
  <xdr:twoCellAnchor>
    <xdr:from>
      <xdr:col>4</xdr:col>
      <xdr:colOff>396240</xdr:colOff>
      <xdr:row>6</xdr:row>
      <xdr:rowOff>99060</xdr:rowOff>
    </xdr:from>
    <xdr:to>
      <xdr:col>6</xdr:col>
      <xdr:colOff>144780</xdr:colOff>
      <xdr:row>7</xdr:row>
      <xdr:rowOff>175260</xdr:rowOff>
    </xdr:to>
    <xdr:sp macro="" textlink="">
      <xdr:nvSpPr>
        <xdr:cNvPr id="22" name="TextBox 21">
          <a:extLst>
            <a:ext uri="{FF2B5EF4-FFF2-40B4-BE49-F238E27FC236}">
              <a16:creationId xmlns:a16="http://schemas.microsoft.com/office/drawing/2014/main" id="{DE341085-F838-639C-90EE-57247E736ACB}"/>
            </a:ext>
          </a:extLst>
        </xdr:cNvPr>
        <xdr:cNvSpPr txBox="1"/>
      </xdr:nvSpPr>
      <xdr:spPr>
        <a:xfrm>
          <a:off x="2834640" y="1196340"/>
          <a:ext cx="127254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Average Wait Time</a:t>
          </a:r>
        </a:p>
        <a:p>
          <a:endParaRPr lang="en-US" sz="1100"/>
        </a:p>
      </xdr:txBody>
    </xdr:sp>
    <xdr:clientData/>
  </xdr:twoCellAnchor>
  <xdr:twoCellAnchor>
    <xdr:from>
      <xdr:col>6</xdr:col>
      <xdr:colOff>419100</xdr:colOff>
      <xdr:row>6</xdr:row>
      <xdr:rowOff>99060</xdr:rowOff>
    </xdr:from>
    <xdr:to>
      <xdr:col>9</xdr:col>
      <xdr:colOff>22860</xdr:colOff>
      <xdr:row>7</xdr:row>
      <xdr:rowOff>175260</xdr:rowOff>
    </xdr:to>
    <xdr:sp macro="" textlink="">
      <xdr:nvSpPr>
        <xdr:cNvPr id="24" name="TextBox 23">
          <a:extLst>
            <a:ext uri="{FF2B5EF4-FFF2-40B4-BE49-F238E27FC236}">
              <a16:creationId xmlns:a16="http://schemas.microsoft.com/office/drawing/2014/main" id="{B31E76E3-F1A1-FFCF-6B10-9D2FAE625717}"/>
            </a:ext>
          </a:extLst>
        </xdr:cNvPr>
        <xdr:cNvSpPr txBox="1"/>
      </xdr:nvSpPr>
      <xdr:spPr>
        <a:xfrm>
          <a:off x="4381500" y="1196340"/>
          <a:ext cx="16383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Patient</a:t>
          </a:r>
          <a:r>
            <a:rPr lang="en-US" sz="1100" baseline="0"/>
            <a:t> Satisfaction Score</a:t>
          </a:r>
          <a:endParaRPr lang="en-US" sz="1100"/>
        </a:p>
      </xdr:txBody>
    </xdr:sp>
    <xdr:clientData/>
  </xdr:twoCellAnchor>
  <xdr:twoCellAnchor>
    <xdr:from>
      <xdr:col>7</xdr:col>
      <xdr:colOff>441960</xdr:colOff>
      <xdr:row>7</xdr:row>
      <xdr:rowOff>152400</xdr:rowOff>
    </xdr:from>
    <xdr:to>
      <xdr:col>8</xdr:col>
      <xdr:colOff>457200</xdr:colOff>
      <xdr:row>9</xdr:row>
      <xdr:rowOff>22860</xdr:rowOff>
    </xdr:to>
    <xdr:sp macro="" textlink="'Pivot Report '!A15">
      <xdr:nvSpPr>
        <xdr:cNvPr id="25" name="TextBox 24">
          <a:extLst>
            <a:ext uri="{FF2B5EF4-FFF2-40B4-BE49-F238E27FC236}">
              <a16:creationId xmlns:a16="http://schemas.microsoft.com/office/drawing/2014/main" id="{E5055007-0ACF-0841-06C9-0AABFE65238F}"/>
            </a:ext>
          </a:extLst>
        </xdr:cNvPr>
        <xdr:cNvSpPr txBox="1"/>
      </xdr:nvSpPr>
      <xdr:spPr>
        <a:xfrm>
          <a:off x="5013960" y="1432560"/>
          <a:ext cx="6019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ED074C-0230-4AFB-861F-0281847CB23B}" type="TxLink">
            <a:rPr lang="en-US" sz="1100" b="0" i="0" u="none" strike="noStrike">
              <a:solidFill>
                <a:srgbClr val="000000"/>
              </a:solidFill>
              <a:latin typeface="Calibri"/>
              <a:ea typeface="Calibri"/>
              <a:cs typeface="Calibri"/>
            </a:rPr>
            <a:t>5.15</a:t>
          </a:fld>
          <a:endParaRPr lang="en-US" sz="1100"/>
        </a:p>
      </xdr:txBody>
    </xdr:sp>
    <xdr:clientData/>
  </xdr:twoCellAnchor>
  <xdr:twoCellAnchor>
    <xdr:from>
      <xdr:col>5</xdr:col>
      <xdr:colOff>152400</xdr:colOff>
      <xdr:row>7</xdr:row>
      <xdr:rowOff>144780</xdr:rowOff>
    </xdr:from>
    <xdr:to>
      <xdr:col>6</xdr:col>
      <xdr:colOff>220980</xdr:colOff>
      <xdr:row>9</xdr:row>
      <xdr:rowOff>15240</xdr:rowOff>
    </xdr:to>
    <xdr:sp macro="" textlink="'Pivot Report '!A11">
      <xdr:nvSpPr>
        <xdr:cNvPr id="26" name="TextBox 25">
          <a:extLst>
            <a:ext uri="{FF2B5EF4-FFF2-40B4-BE49-F238E27FC236}">
              <a16:creationId xmlns:a16="http://schemas.microsoft.com/office/drawing/2014/main" id="{A6159A08-125E-B875-C1B8-E2A138904C2B}"/>
            </a:ext>
          </a:extLst>
        </xdr:cNvPr>
        <xdr:cNvSpPr txBox="1"/>
      </xdr:nvSpPr>
      <xdr:spPr>
        <a:xfrm>
          <a:off x="3200400" y="1424940"/>
          <a:ext cx="98298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0F709-10BF-4F81-9393-C32121B35258}" type="TxLink">
            <a:rPr lang="en-US" sz="1100" b="0" i="0" u="none" strike="noStrike">
              <a:solidFill>
                <a:srgbClr val="000000"/>
              </a:solidFill>
              <a:latin typeface="Calibri"/>
              <a:ea typeface="Calibri"/>
              <a:cs typeface="Calibri"/>
            </a:rPr>
            <a:t>35.81</a:t>
          </a:fld>
          <a:endParaRPr lang="en-US" sz="1100"/>
        </a:p>
      </xdr:txBody>
    </xdr:sp>
    <xdr:clientData/>
  </xdr:twoCellAnchor>
  <xdr:twoCellAnchor editAs="oneCell">
    <xdr:from>
      <xdr:col>3</xdr:col>
      <xdr:colOff>434340</xdr:colOff>
      <xdr:row>5</xdr:row>
      <xdr:rowOff>76200</xdr:rowOff>
    </xdr:from>
    <xdr:to>
      <xdr:col>4</xdr:col>
      <xdr:colOff>129540</xdr:colOff>
      <xdr:row>7</xdr:row>
      <xdr:rowOff>15240</xdr:rowOff>
    </xdr:to>
    <xdr:pic>
      <xdr:nvPicPr>
        <xdr:cNvPr id="28" name="Graphic 27" descr="Male profile">
          <a:extLst>
            <a:ext uri="{FF2B5EF4-FFF2-40B4-BE49-F238E27FC236}">
              <a16:creationId xmlns:a16="http://schemas.microsoft.com/office/drawing/2014/main" id="{640E32F1-2B61-E795-42A2-3B450157ED2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63140" y="990600"/>
          <a:ext cx="304800" cy="304800"/>
        </a:xfrm>
        <a:prstGeom prst="rect">
          <a:avLst/>
        </a:prstGeom>
      </xdr:spPr>
    </xdr:pic>
    <xdr:clientData/>
  </xdr:twoCellAnchor>
  <xdr:twoCellAnchor editAs="oneCell">
    <xdr:from>
      <xdr:col>6</xdr:col>
      <xdr:colOff>45720</xdr:colOff>
      <xdr:row>5</xdr:row>
      <xdr:rowOff>121920</xdr:rowOff>
    </xdr:from>
    <xdr:to>
      <xdr:col>6</xdr:col>
      <xdr:colOff>304800</xdr:colOff>
      <xdr:row>7</xdr:row>
      <xdr:rowOff>15240</xdr:rowOff>
    </xdr:to>
    <xdr:pic>
      <xdr:nvPicPr>
        <xdr:cNvPr id="30" name="Graphic 29" descr="Hourglass">
          <a:extLst>
            <a:ext uri="{FF2B5EF4-FFF2-40B4-BE49-F238E27FC236}">
              <a16:creationId xmlns:a16="http://schemas.microsoft.com/office/drawing/2014/main" id="{4E74CDD1-10E1-87A4-6F06-C3FBB74664D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08120" y="1036320"/>
          <a:ext cx="259080" cy="259080"/>
        </a:xfrm>
        <a:prstGeom prst="rect">
          <a:avLst/>
        </a:prstGeom>
      </xdr:spPr>
    </xdr:pic>
    <xdr:clientData/>
  </xdr:twoCellAnchor>
  <xdr:twoCellAnchor editAs="oneCell">
    <xdr:from>
      <xdr:col>8</xdr:col>
      <xdr:colOff>571500</xdr:colOff>
      <xdr:row>5</xdr:row>
      <xdr:rowOff>114300</xdr:rowOff>
    </xdr:from>
    <xdr:to>
      <xdr:col>8</xdr:col>
      <xdr:colOff>830580</xdr:colOff>
      <xdr:row>7</xdr:row>
      <xdr:rowOff>7620</xdr:rowOff>
    </xdr:to>
    <xdr:pic>
      <xdr:nvPicPr>
        <xdr:cNvPr id="32" name="Graphic 31" descr="Customer review">
          <a:extLst>
            <a:ext uri="{FF2B5EF4-FFF2-40B4-BE49-F238E27FC236}">
              <a16:creationId xmlns:a16="http://schemas.microsoft.com/office/drawing/2014/main" id="{B4008078-BE30-595A-E590-6B0914A9E0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30240" y="1028700"/>
          <a:ext cx="259080" cy="259080"/>
        </a:xfrm>
        <a:prstGeom prst="rect">
          <a:avLst/>
        </a:prstGeom>
      </xdr:spPr>
    </xdr:pic>
    <xdr:clientData/>
  </xdr:twoCellAnchor>
  <xdr:twoCellAnchor editAs="oneCell">
    <xdr:from>
      <xdr:col>0</xdr:col>
      <xdr:colOff>60960</xdr:colOff>
      <xdr:row>5</xdr:row>
      <xdr:rowOff>167640</xdr:rowOff>
    </xdr:from>
    <xdr:to>
      <xdr:col>1</xdr:col>
      <xdr:colOff>411480</xdr:colOff>
      <xdr:row>24</xdr:row>
      <xdr:rowOff>152400</xdr:rowOff>
    </xdr:to>
    <mc:AlternateContent xmlns:mc="http://schemas.openxmlformats.org/markup-compatibility/2006">
      <mc:Choice xmlns:a14="http://schemas.microsoft.com/office/drawing/2010/main" Requires="a14">
        <xdr:graphicFrame macro="">
          <xdr:nvGraphicFramePr>
            <xdr:cNvPr id="33" name="Date (Month)">
              <a:extLst>
                <a:ext uri="{FF2B5EF4-FFF2-40B4-BE49-F238E27FC236}">
                  <a16:creationId xmlns:a16="http://schemas.microsoft.com/office/drawing/2014/main" id="{7BF4C986-D0A6-44E6-A5A9-75A66B3E332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60960" y="1082040"/>
              <a:ext cx="960120" cy="3459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205740</xdr:colOff>
      <xdr:row>7</xdr:row>
      <xdr:rowOff>144780</xdr:rowOff>
    </xdr:from>
    <xdr:to>
      <xdr:col>4</xdr:col>
      <xdr:colOff>198120</xdr:colOff>
      <xdr:row>10</xdr:row>
      <xdr:rowOff>114300</xdr:rowOff>
    </xdr:to>
    <xdr:graphicFrame macro="">
      <xdr:nvGraphicFramePr>
        <xdr:cNvPr id="34" name="Chart 33">
          <a:extLst>
            <a:ext uri="{FF2B5EF4-FFF2-40B4-BE49-F238E27FC236}">
              <a16:creationId xmlns:a16="http://schemas.microsoft.com/office/drawing/2014/main" id="{A6EF1893-6291-429D-8868-707D63EF2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106680</xdr:colOff>
      <xdr:row>7</xdr:row>
      <xdr:rowOff>175260</xdr:rowOff>
    </xdr:from>
    <xdr:to>
      <xdr:col>6</xdr:col>
      <xdr:colOff>449580</xdr:colOff>
      <xdr:row>10</xdr:row>
      <xdr:rowOff>83820</xdr:rowOff>
    </xdr:to>
    <xdr:graphicFrame macro="">
      <xdr:nvGraphicFramePr>
        <xdr:cNvPr id="36" name="Chart 35">
          <a:extLst>
            <a:ext uri="{FF2B5EF4-FFF2-40B4-BE49-F238E27FC236}">
              <a16:creationId xmlns:a16="http://schemas.microsoft.com/office/drawing/2014/main" id="{884D687B-0718-4AFD-B1D8-76D68AD61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396240</xdr:colOff>
      <xdr:row>7</xdr:row>
      <xdr:rowOff>15240</xdr:rowOff>
    </xdr:from>
    <xdr:to>
      <xdr:col>9</xdr:col>
      <xdr:colOff>38100</xdr:colOff>
      <xdr:row>9</xdr:row>
      <xdr:rowOff>144780</xdr:rowOff>
    </xdr:to>
    <xdr:graphicFrame macro="">
      <xdr:nvGraphicFramePr>
        <xdr:cNvPr id="38" name="Chart 37">
          <a:extLst>
            <a:ext uri="{FF2B5EF4-FFF2-40B4-BE49-F238E27FC236}">
              <a16:creationId xmlns:a16="http://schemas.microsoft.com/office/drawing/2014/main" id="{5588FCC7-47D9-4FC1-ACE9-74949E66F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495300</xdr:colOff>
      <xdr:row>10</xdr:row>
      <xdr:rowOff>38100</xdr:rowOff>
    </xdr:from>
    <xdr:to>
      <xdr:col>9</xdr:col>
      <xdr:colOff>68580</xdr:colOff>
      <xdr:row>15</xdr:row>
      <xdr:rowOff>68580</xdr:rowOff>
    </xdr:to>
    <xdr:pic>
      <xdr:nvPicPr>
        <xdr:cNvPr id="41" name="Picture 40">
          <a:extLst>
            <a:ext uri="{FF2B5EF4-FFF2-40B4-BE49-F238E27FC236}">
              <a16:creationId xmlns:a16="http://schemas.microsoft.com/office/drawing/2014/main" id="{8021D272-B19B-3CEC-1A6B-DF17DBA0446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04900" y="1866900"/>
          <a:ext cx="4960620" cy="944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487680</xdr:colOff>
      <xdr:row>15</xdr:row>
      <xdr:rowOff>114300</xdr:rowOff>
    </xdr:from>
    <xdr:to>
      <xdr:col>8</xdr:col>
      <xdr:colOff>807720</xdr:colOff>
      <xdr:row>24</xdr:row>
      <xdr:rowOff>38100</xdr:rowOff>
    </xdr:to>
    <xdr:graphicFrame macro="">
      <xdr:nvGraphicFramePr>
        <xdr:cNvPr id="42" name="Chart 41">
          <a:extLst>
            <a:ext uri="{FF2B5EF4-FFF2-40B4-BE49-F238E27FC236}">
              <a16:creationId xmlns:a16="http://schemas.microsoft.com/office/drawing/2014/main" id="{27AA22C9-1A70-425E-B2C8-13E786843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xdr:col>
      <xdr:colOff>434340</xdr:colOff>
      <xdr:row>23</xdr:row>
      <xdr:rowOff>144780</xdr:rowOff>
    </xdr:from>
    <xdr:to>
      <xdr:col>6</xdr:col>
      <xdr:colOff>198120</xdr:colOff>
      <xdr:row>25</xdr:row>
      <xdr:rowOff>77750</xdr:rowOff>
    </xdr:to>
    <xdr:pic>
      <xdr:nvPicPr>
        <xdr:cNvPr id="43" name="Picture 42">
          <a:extLst>
            <a:ext uri="{FF2B5EF4-FFF2-40B4-BE49-F238E27FC236}">
              <a16:creationId xmlns:a16="http://schemas.microsoft.com/office/drawing/2014/main" id="{43B5D1B1-7DF0-4E6B-83D6-405999197DD5}"/>
            </a:ext>
          </a:extLst>
        </xdr:cNvPr>
        <xdr:cNvPicPr>
          <a:picLocks noChangeAspect="1"/>
        </xdr:cNvPicPr>
      </xdr:nvPicPr>
      <xdr:blipFill>
        <a:blip xmlns:r="http://schemas.openxmlformats.org/officeDocument/2006/relationships" r:embed="rId13"/>
        <a:stretch>
          <a:fillRect/>
        </a:stretch>
      </xdr:blipFill>
      <xdr:spPr>
        <a:xfrm>
          <a:off x="2872740" y="4351020"/>
          <a:ext cx="1287780" cy="298730"/>
        </a:xfrm>
        <a:prstGeom prst="rect">
          <a:avLst/>
        </a:prstGeom>
      </xdr:spPr>
    </xdr:pic>
    <xdr:clientData/>
  </xdr:twoCellAnchor>
  <xdr:twoCellAnchor>
    <xdr:from>
      <xdr:col>9</xdr:col>
      <xdr:colOff>182880</xdr:colOff>
      <xdr:row>0</xdr:row>
      <xdr:rowOff>144781</xdr:rowOff>
    </xdr:from>
    <xdr:to>
      <xdr:col>13</xdr:col>
      <xdr:colOff>99060</xdr:colOff>
      <xdr:row>11</xdr:row>
      <xdr:rowOff>144781</xdr:rowOff>
    </xdr:to>
    <xdr:graphicFrame macro="">
      <xdr:nvGraphicFramePr>
        <xdr:cNvPr id="44" name="Chart 43">
          <a:extLst>
            <a:ext uri="{FF2B5EF4-FFF2-40B4-BE49-F238E27FC236}">
              <a16:creationId xmlns:a16="http://schemas.microsoft.com/office/drawing/2014/main" id="{07C52BED-4DA3-48A1-8DC9-3D62B5F3A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129540</xdr:colOff>
      <xdr:row>11</xdr:row>
      <xdr:rowOff>99060</xdr:rowOff>
    </xdr:from>
    <xdr:to>
      <xdr:col>13</xdr:col>
      <xdr:colOff>373380</xdr:colOff>
      <xdr:row>12</xdr:row>
      <xdr:rowOff>129540</xdr:rowOff>
    </xdr:to>
    <xdr:sp macro="" textlink="">
      <xdr:nvSpPr>
        <xdr:cNvPr id="47" name="Rectangle 46">
          <a:extLst>
            <a:ext uri="{FF2B5EF4-FFF2-40B4-BE49-F238E27FC236}">
              <a16:creationId xmlns:a16="http://schemas.microsoft.com/office/drawing/2014/main" id="{AD636E57-D910-7BE8-A877-DCFBE950225C}"/>
            </a:ext>
          </a:extLst>
        </xdr:cNvPr>
        <xdr:cNvSpPr/>
      </xdr:nvSpPr>
      <xdr:spPr>
        <a:xfrm>
          <a:off x="6736080" y="2110740"/>
          <a:ext cx="2072640" cy="2133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Patient Attend</a:t>
          </a:r>
          <a:r>
            <a:rPr lang="en-US" sz="1100" baseline="0"/>
            <a:t> Status</a:t>
          </a:r>
          <a:endParaRPr lang="en-US" sz="1100"/>
        </a:p>
      </xdr:txBody>
    </xdr:sp>
    <xdr:clientData/>
  </xdr:twoCellAnchor>
  <xdr:twoCellAnchor>
    <xdr:from>
      <xdr:col>13</xdr:col>
      <xdr:colOff>350520</xdr:colOff>
      <xdr:row>11</xdr:row>
      <xdr:rowOff>152400</xdr:rowOff>
    </xdr:from>
    <xdr:to>
      <xdr:col>17</xdr:col>
      <xdr:colOff>228600</xdr:colOff>
      <xdr:row>12</xdr:row>
      <xdr:rowOff>137160</xdr:rowOff>
    </xdr:to>
    <xdr:sp macro="" textlink="">
      <xdr:nvSpPr>
        <xdr:cNvPr id="49" name="Rectangle 48">
          <a:extLst>
            <a:ext uri="{FF2B5EF4-FFF2-40B4-BE49-F238E27FC236}">
              <a16:creationId xmlns:a16="http://schemas.microsoft.com/office/drawing/2014/main" id="{75ECE8D2-44B7-ECAB-E6E7-6F5B6796247A}"/>
            </a:ext>
          </a:extLst>
        </xdr:cNvPr>
        <xdr:cNvSpPr/>
      </xdr:nvSpPr>
      <xdr:spPr>
        <a:xfrm>
          <a:off x="8785860" y="2164080"/>
          <a:ext cx="2316480" cy="16764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213360</xdr:colOff>
      <xdr:row>0</xdr:row>
      <xdr:rowOff>45720</xdr:rowOff>
    </xdr:from>
    <xdr:to>
      <xdr:col>17</xdr:col>
      <xdr:colOff>342900</xdr:colOff>
      <xdr:row>11</xdr:row>
      <xdr:rowOff>76200</xdr:rowOff>
    </xdr:to>
    <xdr:graphicFrame macro="">
      <xdr:nvGraphicFramePr>
        <xdr:cNvPr id="50" name="Chart 49">
          <a:extLst>
            <a:ext uri="{FF2B5EF4-FFF2-40B4-BE49-F238E27FC236}">
              <a16:creationId xmlns:a16="http://schemas.microsoft.com/office/drawing/2014/main" id="{6E4D120A-724C-418A-866B-979D3993B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220980</xdr:colOff>
      <xdr:row>11</xdr:row>
      <xdr:rowOff>45720</xdr:rowOff>
    </xdr:from>
    <xdr:to>
      <xdr:col>16</xdr:col>
      <xdr:colOff>441960</xdr:colOff>
      <xdr:row>12</xdr:row>
      <xdr:rowOff>152400</xdr:rowOff>
    </xdr:to>
    <xdr:sp macro="" textlink="">
      <xdr:nvSpPr>
        <xdr:cNvPr id="51" name="Rectangle 50">
          <a:extLst>
            <a:ext uri="{FF2B5EF4-FFF2-40B4-BE49-F238E27FC236}">
              <a16:creationId xmlns:a16="http://schemas.microsoft.com/office/drawing/2014/main" id="{564F5473-3839-F4DD-99AD-2DA8F9EA07A5}"/>
            </a:ext>
          </a:extLst>
        </xdr:cNvPr>
        <xdr:cNvSpPr/>
      </xdr:nvSpPr>
      <xdr:spPr>
        <a:xfrm>
          <a:off x="9265920" y="2057400"/>
          <a:ext cx="1440180" cy="28956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Gender</a:t>
          </a:r>
          <a:r>
            <a:rPr lang="en-US" sz="1100" baseline="0"/>
            <a:t> wise Analysis</a:t>
          </a:r>
          <a:endParaRPr lang="en-US" sz="1100"/>
        </a:p>
      </xdr:txBody>
    </xdr:sp>
    <xdr:clientData/>
  </xdr:twoCellAnchor>
  <xdr:twoCellAnchor>
    <xdr:from>
      <xdr:col>9</xdr:col>
      <xdr:colOff>114300</xdr:colOff>
      <xdr:row>13</xdr:row>
      <xdr:rowOff>114301</xdr:rowOff>
    </xdr:from>
    <xdr:to>
      <xdr:col>17</xdr:col>
      <xdr:colOff>358140</xdr:colOff>
      <xdr:row>24</xdr:row>
      <xdr:rowOff>22860</xdr:rowOff>
    </xdr:to>
    <xdr:graphicFrame macro="">
      <xdr:nvGraphicFramePr>
        <xdr:cNvPr id="52" name="Chart 51">
          <a:extLst>
            <a:ext uri="{FF2B5EF4-FFF2-40B4-BE49-F238E27FC236}">
              <a16:creationId xmlns:a16="http://schemas.microsoft.com/office/drawing/2014/main" id="{20DFCF04-BA61-4FBD-93F8-8E894E8C5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327660</xdr:colOff>
      <xdr:row>23</xdr:row>
      <xdr:rowOff>167640</xdr:rowOff>
    </xdr:from>
    <xdr:to>
      <xdr:col>17</xdr:col>
      <xdr:colOff>586740</xdr:colOff>
      <xdr:row>25</xdr:row>
      <xdr:rowOff>38100</xdr:rowOff>
    </xdr:to>
    <xdr:sp macro="" textlink="">
      <xdr:nvSpPr>
        <xdr:cNvPr id="53" name="Rectangle 52">
          <a:extLst>
            <a:ext uri="{FF2B5EF4-FFF2-40B4-BE49-F238E27FC236}">
              <a16:creationId xmlns:a16="http://schemas.microsoft.com/office/drawing/2014/main" id="{EEA5AB34-AA8A-D3EA-8673-EC781F65372B}"/>
            </a:ext>
          </a:extLst>
        </xdr:cNvPr>
        <xdr:cNvSpPr/>
      </xdr:nvSpPr>
      <xdr:spPr>
        <a:xfrm>
          <a:off x="7543800" y="4373880"/>
          <a:ext cx="3916680" cy="23622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No.</a:t>
          </a:r>
          <a:r>
            <a:rPr lang="en-US" sz="1100" baseline="0"/>
            <a:t> of Patient by d</a:t>
          </a:r>
          <a:r>
            <a:rPr lang="en-US" sz="1100"/>
            <a:t>epartment</a:t>
          </a:r>
          <a:r>
            <a:rPr lang="en-US" sz="1100" baseline="0"/>
            <a:t> referal</a:t>
          </a:r>
          <a:endParaRPr lang="en-US" sz="1100"/>
        </a:p>
      </xdr:txBody>
    </xdr:sp>
    <xdr:clientData/>
  </xdr:twoCellAnchor>
  <xdr:twoCellAnchor editAs="oneCell">
    <xdr:from>
      <xdr:col>6</xdr:col>
      <xdr:colOff>129540</xdr:colOff>
      <xdr:row>0</xdr:row>
      <xdr:rowOff>129540</xdr:rowOff>
    </xdr:from>
    <xdr:to>
      <xdr:col>8</xdr:col>
      <xdr:colOff>822960</xdr:colOff>
      <xdr:row>4</xdr:row>
      <xdr:rowOff>129540</xdr:rowOff>
    </xdr:to>
    <mc:AlternateContent xmlns:mc="http://schemas.openxmlformats.org/markup-compatibility/2006">
      <mc:Choice xmlns:a14="http://schemas.microsoft.com/office/drawing/2010/main" Requires="a14">
        <xdr:graphicFrame macro="">
          <xdr:nvGraphicFramePr>
            <xdr:cNvPr id="54" name="Date (Year)">
              <a:extLst>
                <a:ext uri="{FF2B5EF4-FFF2-40B4-BE49-F238E27FC236}">
                  <a16:creationId xmlns:a16="http://schemas.microsoft.com/office/drawing/2014/main" id="{31F484A1-753A-4940-B474-0E69A97CAAD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091940" y="129540"/>
              <a:ext cx="188976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7620</xdr:colOff>
      <xdr:row>29</xdr:row>
      <xdr:rowOff>137160</xdr:rowOff>
    </xdr:to>
    <xdr:graphicFrame macro="">
      <xdr:nvGraphicFramePr>
        <xdr:cNvPr id="2" name="Chart 1">
          <a:extLst>
            <a:ext uri="{FF2B5EF4-FFF2-40B4-BE49-F238E27FC236}">
              <a16:creationId xmlns:a16="http://schemas.microsoft.com/office/drawing/2014/main" id="{57D3C10B-0DEF-4B75-A84F-1E75C8565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4490738" createdVersion="5" refreshedVersion="8" minRefreshableVersion="3" recordCount="0" supportSubquery="1" supportAdvancedDrill="1" xr:uid="{F977053D-3FD7-4DAA-B91F-301B117F0411}">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4837961" createdVersion="5" refreshedVersion="8" minRefreshableVersion="3" recordCount="0" supportSubquery="1" supportAdvancedDrill="1" xr:uid="{5AF3B4DD-6176-442B-9EB4-F715F9D962B5}">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4953707" createdVersion="5" refreshedVersion="8" minRefreshableVersion="3" recordCount="0" supportSubquery="1" supportAdvancedDrill="1" xr:uid="{E4E845DC-2184-405B-9543-D8FA4124A0DC}">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5416669" createdVersion="5" refreshedVersion="8" minRefreshableVersion="3" recordCount="0" supportSubquery="1" supportAdvancedDrill="1" xr:uid="{DE5E9256-22B3-4540-A528-E5E244AA1658}">
  <cacheSource type="external" connectionId="3"/>
  <cacheFields count="4">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5879631" createdVersion="5" refreshedVersion="8" minRefreshableVersion="3" recordCount="0" supportSubquery="1" supportAdvancedDrill="1" xr:uid="{AB99F0C3-A7C7-48EA-95BB-0CC442E8660C}">
  <cacheSource type="external" connectionId="3"/>
  <cacheFields count="4">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6342593" createdVersion="5" refreshedVersion="8" minRefreshableVersion="3" recordCount="0" supportSubquery="1" supportAdvancedDrill="1" xr:uid="{5D992864-75B0-4F67-88CE-21B5B919906A}">
  <cacheSource type="external" connectionId="3"/>
  <cacheFields count="5">
    <cacheField name="[Calenda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6689816" createdVersion="5" refreshedVersion="8" minRefreshableVersion="3" recordCount="0" supportSubquery="1" supportAdvancedDrill="1" xr:uid="{41397DB6-E0BE-42CB-8CC0-655A22378DED}">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7152778" createdVersion="5" refreshedVersion="8" minRefreshableVersion="3" recordCount="0" supportSubquery="1" supportAdvancedDrill="1" xr:uid="{5E5316AB-6342-4E67-B02B-47A68531C484}">
  <cacheSource type="external" connectionId="3"/>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Patient Age]" caption="Count of Patient Age" numFmtId="0" hierarchy="31"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761574" createdVersion="5" refreshedVersion="8" minRefreshableVersion="3" recordCount="0" supportSubquery="1" supportAdvancedDrill="1" xr:uid="{382ECDBA-24D2-48E0-BCEB-FB4F0EC41691}">
  <cacheSource type="external" connectionId="3"/>
  <cacheFields count="4">
    <cacheField name="[Calendar Table].[Date (Month)].[Date (Month)]" caption="Date (Month)" numFmtId="0" hierarchy="1" level="1">
      <sharedItems containsSemiMixedTypes="0" containsNonDate="0" containsString="0"/>
    </cacheField>
    <cacheField name="[Measures].[Count of Patient Attend Status]" caption="Count of Patient Attend Status" numFmtId="0" hierarchy="32" level="32767"/>
    <cacheField name="[Hospital Emergency Room Data].[Patient Attend Status].[Patient Attend Status]" caption="Patient Attend Status" numFmtId="0" hierarchy="17" level="1">
      <sharedItems count="2">
        <s v="Delay"/>
        <s v="Ontime"/>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7962963" createdVersion="5" refreshedVersion="8" minRefreshableVersion="3" recordCount="0" supportSubquery="1" supportAdvancedDrill="1" xr:uid="{36DCBADD-4EF8-4DBD-8A5F-27594AFFFB57}">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8310186" createdVersion="5" refreshedVersion="8" minRefreshableVersion="3" recordCount="0" supportSubquery="1" supportAdvancedDrill="1" xr:uid="{F3CF4F97-C975-489F-8251-816B79606DA7}">
  <cacheSource type="external" connectionId="3"/>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478865741" createdVersion="5" refreshedVersion="8" minRefreshableVersion="3" recordCount="0" supportSubquery="1" supportAdvancedDrill="1" xr:uid="{0EB3EF74-C526-4E1F-BCF8-52D1BED8637A}">
  <cacheSource type="external" connectionId="3"/>
  <cacheFields count="4">
    <cacheField name="[Calendar Table].[Date (Month)].[Date (Month)]" caption="Date (Month)" numFmtId="0" hierarchy="1" level="1">
      <sharedItems count="1">
        <s v="May"/>
      </sharedItems>
    </cacheField>
    <cacheField name="[Calendar Table].[Date].[Date]" caption="Date" numFmtId="0" level="1">
      <sharedItems containsSemiMixedTypes="0" containsNonDate="0" containsDate="1" containsString="0" minDate="2024-05-01T00:00:00" maxDate="2024-06-01T00:00:00" count="31">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 Table].[Date (Quarter)].[Date (Quarter)]" caption="Date (Quarter)" numFmtId="0" hierarchy="4" level="1">
      <sharedItems count="1">
        <s v="Qtr2"/>
      </sharedItems>
    </cacheField>
    <cacheField name="[Calendar Table].[Date (Year)].[Date (Year)]" caption="Date (Year)" numFmtId="0" hierarchy="3" level="1">
      <sharedItems count="1">
        <s v="2024"/>
      </sharedItems>
    </cacheField>
  </cacheFields>
  <cacheHierarchies count="35">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shor Chandra" refreshedDate="46088.891616435183" createdVersion="3" refreshedVersion="8" minRefreshableVersion="3" recordCount="0" supportSubquery="1" supportAdvancedDrill="1" xr:uid="{DC956187-F131-4120-BED4-2C0E2699AC8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123318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5CB769-9598-4C89-9C27-38C6584F6832}" name="PivotTable14" cacheId="1043" applyNumberFormats="0" applyBorderFormats="0" applyFontFormats="0" applyPatternFormats="0" applyAlignmentFormats="0" applyWidthHeightFormats="1" dataCaption="Values" tag="77618e82-e394-4a79-90b3-74ccd983f138" updatedVersion="8" minRefreshableVersion="3" subtotalHiddenItems="1" itemPrintTitles="1" createdVersion="5" indent="0" outline="1" outlineData="1" multipleFieldFilters="0" chartFormat="37">
  <location ref="A65:A100"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5">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3">
      <x v="30"/>
    </i>
    <i t="grand">
      <x/>
    </i>
  </rowItems>
  <formats count="1">
    <format dxfId="91">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2A3657-CD8A-472A-AC74-EC65A9358E55}" name="PivotTable13" cacheId="1040" applyNumberFormats="0" applyBorderFormats="0" applyFontFormats="0" applyPatternFormats="0" applyAlignmentFormats="0" applyWidthHeightFormats="1" dataCaption="Values" tag="2ae1756e-1b06-4cef-85b8-48006a25b249" updatedVersion="8" minRefreshableVersion="3" subtotalHiddenItems="1" itemPrintTitles="1" createdVersion="5" indent="0" outline="1" outlineData="1" multipleFieldFilters="0" chartFormat="37">
  <location ref="A53:B62"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3"/>
    </i>
    <i>
      <x v="6"/>
    </i>
    <i>
      <x/>
    </i>
    <i>
      <x v="1"/>
    </i>
    <i>
      <x v="7"/>
    </i>
    <i t="grand">
      <x/>
    </i>
  </rowItems>
  <colItems count="1">
    <i/>
  </colItems>
  <dataFields count="1">
    <dataField name="Count of Department Referral" fld="2" subtotal="count" baseField="0" baseItem="0"/>
  </dataFields>
  <formats count="1">
    <format dxfId="133">
      <pivotArea outline="0" collapsedLevelsAreSubtotals="1" fieldPosition="0"/>
    </format>
  </format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99088-2BA8-4375-8EC7-43DC86814AB7}" name="PivotTable12" cacheId="1037" applyNumberFormats="0" applyBorderFormats="0" applyFontFormats="0" applyPatternFormats="0" applyAlignmentFormats="0" applyWidthHeightFormats="1" dataCaption="Values" tag="3ee4354a-c1ee-43e8-ab8b-74390f1825f9" updatedVersion="8" minRefreshableVersion="3" subtotalHiddenItems="1" itemPrintTitles="1" createdVersion="5" indent="0" outline="1" outlineData="1" multipleFieldFilters="0" chartFormat="33">
  <location ref="A46:B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4">
      <pivotArea outline="0" collapsedLevelsAreSubtotals="1" fieldPosition="0"/>
    </format>
  </formats>
  <chartFormats count="10">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1" count="1" selected="0">
            <x v="0"/>
          </reference>
        </references>
      </pivotArea>
    </chartFormat>
    <chartFormat chart="27" format="12">
      <pivotArea type="data" outline="0" fieldPosition="0">
        <references count="2">
          <reference field="4294967294" count="1" selected="0">
            <x v="0"/>
          </reference>
          <reference field="1" count="1" selected="0">
            <x v="1"/>
          </reference>
        </references>
      </pivotArea>
    </chartFormat>
    <chartFormat chart="28"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888A3-E578-4D67-9865-F8B490FBC927}" name="PivotTable11" cacheId="1034" applyNumberFormats="0" applyBorderFormats="0" applyFontFormats="0" applyPatternFormats="0" applyAlignmentFormats="0" applyWidthHeightFormats="1" dataCaption="Values" tag="79e07af8-a93a-4843-95f6-2788a0890ea2" updatedVersion="8" minRefreshableVersion="3" subtotalHiddenItems="1" itemPrintTitles="1" createdVersion="5" indent="0" outline="1" outlineData="1" multipleFieldFilters="0" chartFormat="19">
  <location ref="A39:B4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135">
      <pivotArea outline="0" collapsedLevelsAreSubtotals="1"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553456-30A8-4B0C-AC40-45A9DC623AB3}" name="PivotTable10" cacheId="1031" applyNumberFormats="0" applyBorderFormats="0" applyFontFormats="0" applyPatternFormats="0" applyAlignmentFormats="0" applyWidthHeightFormats="1" dataCaption="Values" tag="d3e66e73-51fa-4ee7-8712-19a282d0111d" updatedVersion="8" minRefreshableVersion="3" subtotalHiddenItems="1" itemPrintTitles="1" createdVersion="5" indent="0" outline="1" outlineData="1" multipleFieldFilters="0" chartFormat="14">
  <location ref="A27:B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dataFields>
  <formats count="1">
    <format dxfId="136">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9C7381-2B1A-402B-8923-F80A6F16236D}" name="PivotTable9" cacheId="1028" applyNumberFormats="0" applyBorderFormats="0" applyFontFormats="0" applyPatternFormats="0" applyAlignmentFormats="0" applyWidthHeightFormats="1" dataCaption="Values" tag="7825e366-7ad2-4bcf-aeeb-680b13e46c58" updatedVersion="8" minRefreshableVersion="3" subtotalHiddenItems="1" itemPrintTitles="1" createdVersion="5" indent="0" outline="1" outlineData="1" multipleFieldFilters="0" chartFormat="7">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9B9AAD-2081-4485-8269-61CC241CB53B}" name="PivotTable8" cacheId="1025" applyNumberFormats="0" applyBorderFormats="0" applyFontFormats="0" applyPatternFormats="0" applyAlignmentFormats="0" applyWidthHeightFormats="1" dataCaption="Values" tag="305f8931-61c9-4f72-b6e9-a156989c24b0" updatedVersion="8" minRefreshableVersion="3" subtotalHiddenItems="1" itemPrintTitles="1" createdVersion="5" indent="0" outline="1" outlineData="1" multipleFieldFilters="0" chartFormat="10">
  <location ref="A18:C2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38">
      <pivotArea outline="0" collapsedLevelsAreSubtotals="1" fieldPosition="0"/>
    </format>
    <format dxfId="13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3473AA-1CE9-429A-ADFD-47A82106F3B8}" name="PivotTable7" cacheId="1022" applyNumberFormats="0" applyBorderFormats="0" applyFontFormats="0" applyPatternFormats="0" applyAlignmentFormats="0" applyWidthHeightFormats="1" dataCaption="Values" tag="39c3d63d-48c1-4f04-9bd7-e66ce66d51f9" updatedVersion="8" minRefreshableVersion="3" subtotalHiddenItems="1" itemPrintTitles="1" createdVersion="5" indent="0" outline="1" outlineData="1" multipleFieldFilters="0" chartFormat="24">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39">
      <pivotArea collapsedLevelsAreSubtotals="1" fieldPosition="0">
        <references count="1">
          <reference field="0" count="0"/>
        </references>
      </pivotArea>
    </format>
  </formats>
  <chartFormats count="1">
    <chartFormat chart="2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6C5CF8-225A-4DC1-8A9B-7500A3F9D393}" name="PivotTable6" cacheId="1019" applyNumberFormats="0" applyBorderFormats="0" applyFontFormats="0" applyPatternFormats="0" applyAlignmentFormats="0" applyWidthHeightFormats="1" dataCaption="Values" tag="ab818c67-c727-4376-9d21-fd31cd0899fb" updatedVersion="8" minRefreshableVersion="3" subtotalHiddenItems="1" itemPrintTitles="1" createdVersion="5" indent="0" outline="1" outlineData="1" multipleFieldFilters="0" chartFormat="17">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140">
      <pivotArea collapsedLevelsAreSubtotals="1" fieldPosition="0">
        <references count="1">
          <reference field="0" count="0"/>
        </references>
      </pivotArea>
    </format>
  </formats>
  <chartFormats count="2">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BB7591-75E2-4820-8140-E4A0589F0A01}" name="PivotTable1" cacheId="1010" applyNumberFormats="0" applyBorderFormats="0" applyFontFormats="0" applyPatternFormats="0" applyAlignmentFormats="0" applyWidthHeightFormats="1" dataCaption="Values" tag="a6c2dfb6-9144-4768-ab5f-247a4d16e85d"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F2683E-1711-4781-A662-E4943E6B3339}" name="PivotTable3" cacheId="1016" applyNumberFormats="0" applyBorderFormats="0" applyFontFormats="0" applyPatternFormats="0" applyAlignmentFormats="0" applyWidthHeightFormats="1" dataCaption="Values" tag="b9c3e248-cc56-417c-afc5-f80b41d8bc62"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5">
      <pivotArea outline="0" collapsedLevelsAreSubtotals="1" fieldPosition="0"/>
    </format>
  </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8A6AEA-2720-458B-A0E6-7EF9F759BF47}" name="PivotTable2" cacheId="1013" applyNumberFormats="0" applyBorderFormats="0" applyFontFormats="0" applyPatternFormats="0" applyAlignmentFormats="0" applyWidthHeightFormats="1" dataCaption="Values" tag="c5cfe0d8-ce88-4d2e-9f98-5128877fc27a" updatedVersion="8" minRefreshableVersion="3" subtotalHiddenItems="1" itemPrintTitles="1" createdVersion="5" indent="0" outline="1" outlineData="1" multipleFieldFilters="0" chartFormat="1">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4">
      <pivotArea outline="0" collapsedLevelsAreSubtotals="1" fieldPosition="0"/>
    </format>
  </formats>
  <pivotHierarchies count="35">
    <pivotHierarchy dragToData="1"/>
    <pivotHierarchy multipleItemSelectionAllowed="1" dragToData="1">
      <members count="1" level="1">
        <member name="[Calendar Table].[Date (Month)].&amp;[May]"/>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8B58FF4-DD4E-4BE9-A883-237E3E5AF424}" sourceName="[Calendar Table].[Date (Month)]">
  <pivotTables>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612331857">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F950873-0BA7-4B72-9E7F-1AAA754536CB}" sourceName="[Calendar Table].[Date (Year)]">
  <pivotTables>
    <pivotTable tabId="1" name="PivotTable14"/>
    <pivotTable tabId="1" name="PivotTable1"/>
    <pivotTable tabId="1" name="PivotTable10"/>
    <pivotTable tabId="1" name="PivotTable11"/>
    <pivotTable tabId="1" name="PivotTable12"/>
    <pivotTable tabId="1" name="PivotTable13"/>
    <pivotTable tabId="1" name="PivotTable2"/>
    <pivotTable tabId="1" name="PivotTable3"/>
    <pivotTable tabId="1" name="PivotTable6"/>
    <pivotTable tabId="1" name="PivotTable7"/>
    <pivotTable tabId="1" name="PivotTable8"/>
    <pivotTable tabId="1" name="PivotTable9"/>
  </pivotTables>
  <data>
    <olap pivotCacheId="612331857">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79A96B40-83A8-4BBC-B3ED-4087F0E26CE6}" cache="Slicer_Date__Month" caption="Date (Month)" showCaption="0" level="1" style="SlicerStyleDark2" rowHeight="234950"/>
  <slicer name="Date (Year)" xr10:uid="{6E8304EC-98CE-4742-9676-5600E8FCFE0A}" cache="Slicer_Date__Year" caption="Date (Year)" showCaption="0"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00"/>
  <sheetViews>
    <sheetView topLeftCell="A61" workbookViewId="0">
      <selection activeCell="A65" sqref="A65"/>
    </sheetView>
  </sheetViews>
  <sheetFormatPr defaultRowHeight="14.4" x14ac:dyDescent="0.3"/>
  <cols>
    <col min="1" max="1" width="32.44140625" bestFit="1" customWidth="1"/>
    <col min="2" max="2" width="28.109375" bestFit="1" customWidth="1"/>
    <col min="3" max="3" width="29.109375" bestFit="1" customWidth="1"/>
    <col min="4" max="5" width="23.88671875" bestFit="1" customWidth="1"/>
    <col min="9" max="9" width="12.5546875" bestFit="1" customWidth="1"/>
    <col min="10" max="10" width="23.88671875" bestFit="1" customWidth="1"/>
    <col min="13" max="13" width="12.5546875" bestFit="1" customWidth="1"/>
    <col min="14" max="14" width="32.44140625" bestFit="1" customWidth="1"/>
  </cols>
  <sheetData>
    <row r="3" spans="1:14" x14ac:dyDescent="0.3">
      <c r="A3" t="s">
        <v>1</v>
      </c>
      <c r="F3" t="s">
        <v>40</v>
      </c>
      <c r="I3" t="s">
        <v>41</v>
      </c>
    </row>
    <row r="4" spans="1:14" x14ac:dyDescent="0.3">
      <c r="A4" t="s">
        <v>0</v>
      </c>
      <c r="F4" s="2" t="s">
        <v>8</v>
      </c>
      <c r="G4" t="s">
        <v>0</v>
      </c>
      <c r="I4" s="2" t="s">
        <v>8</v>
      </c>
      <c r="J4" t="s">
        <v>2</v>
      </c>
      <c r="M4" s="2" t="s">
        <v>8</v>
      </c>
      <c r="N4" t="s">
        <v>3</v>
      </c>
    </row>
    <row r="5" spans="1:14" x14ac:dyDescent="0.3">
      <c r="A5" s="1">
        <v>519</v>
      </c>
      <c r="F5" s="5" t="s">
        <v>9</v>
      </c>
      <c r="G5" s="1">
        <v>14</v>
      </c>
      <c r="I5" s="5" t="s">
        <v>9</v>
      </c>
      <c r="J5" s="3">
        <v>35.642857142857146</v>
      </c>
      <c r="M5" s="5" t="s">
        <v>9</v>
      </c>
      <c r="N5" s="3">
        <v>7.4</v>
      </c>
    </row>
    <row r="6" spans="1:14" x14ac:dyDescent="0.3">
      <c r="F6" s="5" t="s">
        <v>10</v>
      </c>
      <c r="G6" s="1">
        <v>21</v>
      </c>
      <c r="I6" s="5" t="s">
        <v>10</v>
      </c>
      <c r="J6" s="3">
        <v>27</v>
      </c>
      <c r="M6" s="5" t="s">
        <v>10</v>
      </c>
      <c r="N6" s="3">
        <v>5.6</v>
      </c>
    </row>
    <row r="7" spans="1:14" x14ac:dyDescent="0.3">
      <c r="F7" s="5" t="s">
        <v>11</v>
      </c>
      <c r="G7" s="1">
        <v>21</v>
      </c>
      <c r="I7" s="5" t="s">
        <v>11</v>
      </c>
      <c r="J7" s="3">
        <v>36.047619047619051</v>
      </c>
      <c r="M7" s="5" t="s">
        <v>11</v>
      </c>
      <c r="N7" s="3">
        <v>6.7142857142857144</v>
      </c>
    </row>
    <row r="8" spans="1:14" x14ac:dyDescent="0.3">
      <c r="F8" s="5" t="s">
        <v>12</v>
      </c>
      <c r="G8" s="1">
        <v>15</v>
      </c>
      <c r="I8" s="5" t="s">
        <v>12</v>
      </c>
      <c r="J8" s="3">
        <v>38.866666666666667</v>
      </c>
      <c r="M8" s="5" t="s">
        <v>12</v>
      </c>
      <c r="N8" s="3">
        <v>6</v>
      </c>
    </row>
    <row r="9" spans="1:14" x14ac:dyDescent="0.3">
      <c r="F9" s="5" t="s">
        <v>13</v>
      </c>
      <c r="G9" s="1">
        <v>11</v>
      </c>
      <c r="I9" s="5" t="s">
        <v>13</v>
      </c>
      <c r="J9" s="3">
        <v>35.909090909090907</v>
      </c>
      <c r="M9" s="5" t="s">
        <v>13</v>
      </c>
      <c r="N9" s="3">
        <v>4</v>
      </c>
    </row>
    <row r="10" spans="1:14" x14ac:dyDescent="0.3">
      <c r="A10" t="s">
        <v>2</v>
      </c>
      <c r="F10" s="5" t="s">
        <v>14</v>
      </c>
      <c r="G10" s="1">
        <v>17</v>
      </c>
      <c r="I10" s="5" t="s">
        <v>14</v>
      </c>
      <c r="J10" s="3">
        <v>38.470588235294116</v>
      </c>
      <c r="M10" s="5" t="s">
        <v>14</v>
      </c>
      <c r="N10" s="3">
        <v>4.7142857142857144</v>
      </c>
    </row>
    <row r="11" spans="1:14" x14ac:dyDescent="0.3">
      <c r="A11" s="3">
        <v>35.809248554913296</v>
      </c>
      <c r="F11" s="5" t="s">
        <v>15</v>
      </c>
      <c r="G11" s="1">
        <v>15</v>
      </c>
      <c r="I11" s="5" t="s">
        <v>15</v>
      </c>
      <c r="J11" s="3">
        <v>36.733333333333334</v>
      </c>
      <c r="M11" s="5" t="s">
        <v>15</v>
      </c>
      <c r="N11" s="3">
        <v>1.8</v>
      </c>
    </row>
    <row r="12" spans="1:14" x14ac:dyDescent="0.3">
      <c r="F12" s="5" t="s">
        <v>16</v>
      </c>
      <c r="G12" s="1">
        <v>17</v>
      </c>
      <c r="I12" s="5" t="s">
        <v>16</v>
      </c>
      <c r="J12" s="3">
        <v>34.588235294117645</v>
      </c>
      <c r="M12" s="5" t="s">
        <v>16</v>
      </c>
      <c r="N12" s="3">
        <v>4.833333333333333</v>
      </c>
    </row>
    <row r="13" spans="1:14" x14ac:dyDescent="0.3">
      <c r="F13" s="5" t="s">
        <v>17</v>
      </c>
      <c r="G13" s="1">
        <v>13</v>
      </c>
      <c r="I13" s="5" t="s">
        <v>17</v>
      </c>
      <c r="J13" s="3">
        <v>37.53846153846154</v>
      </c>
      <c r="M13" s="5" t="s">
        <v>17</v>
      </c>
      <c r="N13" s="3">
        <v>4.25</v>
      </c>
    </row>
    <row r="14" spans="1:14" x14ac:dyDescent="0.3">
      <c r="A14" t="s">
        <v>3</v>
      </c>
      <c r="F14" s="5" t="s">
        <v>18</v>
      </c>
      <c r="G14" s="1">
        <v>24</v>
      </c>
      <c r="I14" s="5" t="s">
        <v>18</v>
      </c>
      <c r="J14" s="3">
        <v>31.708333333333332</v>
      </c>
      <c r="M14" s="5" t="s">
        <v>18</v>
      </c>
      <c r="N14" s="3">
        <v>4.5999999999999996</v>
      </c>
    </row>
    <row r="15" spans="1:14" x14ac:dyDescent="0.3">
      <c r="A15" s="3">
        <v>5.1455696202531644</v>
      </c>
      <c r="F15" s="5" t="s">
        <v>19</v>
      </c>
      <c r="G15" s="1">
        <v>13</v>
      </c>
      <c r="I15" s="5" t="s">
        <v>19</v>
      </c>
      <c r="J15" s="3">
        <v>28.923076923076923</v>
      </c>
      <c r="M15" s="5" t="s">
        <v>19</v>
      </c>
      <c r="N15" s="3">
        <v>6.5</v>
      </c>
    </row>
    <row r="16" spans="1:14" x14ac:dyDescent="0.3">
      <c r="F16" s="5" t="s">
        <v>20</v>
      </c>
      <c r="G16" s="1">
        <v>14</v>
      </c>
      <c r="I16" s="5" t="s">
        <v>20</v>
      </c>
      <c r="J16" s="3">
        <v>42.071428571428569</v>
      </c>
      <c r="M16" s="5" t="s">
        <v>20</v>
      </c>
      <c r="N16" s="3">
        <v>5</v>
      </c>
    </row>
    <row r="17" spans="1:14" x14ac:dyDescent="0.3">
      <c r="F17" s="5" t="s">
        <v>21</v>
      </c>
      <c r="G17" s="1">
        <v>12</v>
      </c>
      <c r="I17" s="5" t="s">
        <v>21</v>
      </c>
      <c r="J17" s="3">
        <v>35.833333333333336</v>
      </c>
      <c r="M17" s="5" t="s">
        <v>21</v>
      </c>
      <c r="N17" s="3">
        <v>6</v>
      </c>
    </row>
    <row r="18" spans="1:14" x14ac:dyDescent="0.3">
      <c r="A18" s="2" t="s">
        <v>8</v>
      </c>
      <c r="B18" t="s">
        <v>46</v>
      </c>
      <c r="C18" t="s">
        <v>47</v>
      </c>
      <c r="F18" s="5" t="s">
        <v>22</v>
      </c>
      <c r="G18" s="1">
        <v>11</v>
      </c>
      <c r="I18" s="5" t="s">
        <v>22</v>
      </c>
      <c r="J18" s="3">
        <v>28.727272727272727</v>
      </c>
      <c r="M18" s="5" t="s">
        <v>22</v>
      </c>
      <c r="N18" s="3">
        <v>4.7142857142857144</v>
      </c>
    </row>
    <row r="19" spans="1:14" x14ac:dyDescent="0.3">
      <c r="A19" s="5" t="s">
        <v>44</v>
      </c>
      <c r="B19" s="3">
        <v>266</v>
      </c>
      <c r="C19" s="9">
        <v>0.51252408477842004</v>
      </c>
      <c r="F19" s="5" t="s">
        <v>23</v>
      </c>
      <c r="G19" s="1">
        <v>16</v>
      </c>
      <c r="I19" s="5" t="s">
        <v>23</v>
      </c>
      <c r="J19" s="3">
        <v>35.75</v>
      </c>
      <c r="M19" s="5" t="s">
        <v>23</v>
      </c>
      <c r="N19" s="3">
        <v>4.2</v>
      </c>
    </row>
    <row r="20" spans="1:14" x14ac:dyDescent="0.3">
      <c r="A20" s="5" t="s">
        <v>45</v>
      </c>
      <c r="B20" s="3">
        <v>253</v>
      </c>
      <c r="C20" s="9">
        <v>0.48747591522157996</v>
      </c>
      <c r="F20" s="5" t="s">
        <v>24</v>
      </c>
      <c r="G20" s="1">
        <v>20</v>
      </c>
      <c r="I20" s="5" t="s">
        <v>24</v>
      </c>
      <c r="J20" s="3">
        <v>34.75</v>
      </c>
      <c r="M20" s="5" t="s">
        <v>24</v>
      </c>
      <c r="N20" s="3">
        <v>7.2</v>
      </c>
    </row>
    <row r="21" spans="1:14" x14ac:dyDescent="0.3">
      <c r="A21" s="5" t="s">
        <v>4</v>
      </c>
      <c r="B21" s="3">
        <v>519</v>
      </c>
      <c r="C21" s="9">
        <v>1</v>
      </c>
      <c r="F21" s="5" t="s">
        <v>25</v>
      </c>
      <c r="G21" s="1">
        <v>15</v>
      </c>
      <c r="I21" s="5" t="s">
        <v>25</v>
      </c>
      <c r="J21" s="3">
        <v>37.666666666666664</v>
      </c>
      <c r="M21" s="5" t="s">
        <v>25</v>
      </c>
      <c r="N21" s="3">
        <v>4.333333333333333</v>
      </c>
    </row>
    <row r="22" spans="1:14" x14ac:dyDescent="0.3">
      <c r="F22" s="5" t="s">
        <v>26</v>
      </c>
      <c r="G22" s="1">
        <v>19</v>
      </c>
      <c r="I22" s="5" t="s">
        <v>26</v>
      </c>
      <c r="J22" s="3">
        <v>40.421052631578945</v>
      </c>
      <c r="M22" s="5" t="s">
        <v>26</v>
      </c>
      <c r="N22" s="3">
        <v>3.7777777777777777</v>
      </c>
    </row>
    <row r="23" spans="1:14" x14ac:dyDescent="0.3">
      <c r="A23" s="10" t="s">
        <v>48</v>
      </c>
      <c r="B23" s="10" t="s">
        <v>51</v>
      </c>
      <c r="C23" s="10" t="s">
        <v>49</v>
      </c>
      <c r="D23" s="10" t="s">
        <v>50</v>
      </c>
      <c r="F23" s="5" t="s">
        <v>27</v>
      </c>
      <c r="G23" s="1">
        <v>16</v>
      </c>
      <c r="I23" s="5" t="s">
        <v>27</v>
      </c>
      <c r="J23" s="3">
        <v>33.75</v>
      </c>
      <c r="M23" s="5" t="s">
        <v>27</v>
      </c>
      <c r="N23" s="3">
        <v>3.6666666666666665</v>
      </c>
    </row>
    <row r="24" spans="1:14" x14ac:dyDescent="0.3">
      <c r="A24" s="11" t="str">
        <f>A20</f>
        <v>Not Admitted</v>
      </c>
      <c r="B24" s="11">
        <f>B20</f>
        <v>253</v>
      </c>
      <c r="C24" s="12">
        <f>C20</f>
        <v>0.48747591522157996</v>
      </c>
      <c r="F24" s="5" t="s">
        <v>28</v>
      </c>
      <c r="G24" s="1">
        <v>17</v>
      </c>
      <c r="I24" s="5" t="s">
        <v>28</v>
      </c>
      <c r="J24" s="3">
        <v>32.764705882352942</v>
      </c>
      <c r="M24" s="5" t="s">
        <v>28</v>
      </c>
      <c r="N24" s="3">
        <v>4</v>
      </c>
    </row>
    <row r="25" spans="1:14" x14ac:dyDescent="0.3">
      <c r="A25" s="11" t="str">
        <f>A19</f>
        <v>Admitted</v>
      </c>
      <c r="B25" s="11">
        <f>B19</f>
        <v>266</v>
      </c>
      <c r="C25" s="12">
        <f>C19</f>
        <v>0.51252408477842004</v>
      </c>
      <c r="F25" s="5" t="s">
        <v>29</v>
      </c>
      <c r="G25" s="1">
        <v>28</v>
      </c>
      <c r="I25" s="5" t="s">
        <v>29</v>
      </c>
      <c r="J25" s="3">
        <v>37.357142857142854</v>
      </c>
      <c r="M25" s="5" t="s">
        <v>29</v>
      </c>
      <c r="N25" s="3">
        <v>5.833333333333333</v>
      </c>
    </row>
    <row r="26" spans="1:14" x14ac:dyDescent="0.3">
      <c r="F26" s="5" t="s">
        <v>30</v>
      </c>
      <c r="G26" s="1">
        <v>22</v>
      </c>
      <c r="I26" s="5" t="s">
        <v>30</v>
      </c>
      <c r="J26" s="3">
        <v>37.227272727272727</v>
      </c>
      <c r="M26" s="5" t="s">
        <v>30</v>
      </c>
      <c r="N26" s="3">
        <v>5.666666666666667</v>
      </c>
    </row>
    <row r="27" spans="1:14" x14ac:dyDescent="0.3">
      <c r="A27" s="2" t="s">
        <v>8</v>
      </c>
      <c r="B27" t="s">
        <v>60</v>
      </c>
      <c r="F27" s="5" t="s">
        <v>31</v>
      </c>
      <c r="G27" s="1">
        <v>20</v>
      </c>
      <c r="I27" s="5" t="s">
        <v>31</v>
      </c>
      <c r="J27" s="3">
        <v>36.700000000000003</v>
      </c>
      <c r="M27" s="5" t="s">
        <v>31</v>
      </c>
      <c r="N27" s="3">
        <v>5.5</v>
      </c>
    </row>
    <row r="28" spans="1:14" x14ac:dyDescent="0.3">
      <c r="A28" s="5" t="s">
        <v>52</v>
      </c>
      <c r="B28" s="3">
        <v>73</v>
      </c>
      <c r="F28" s="5" t="s">
        <v>32</v>
      </c>
      <c r="G28" s="1">
        <v>17</v>
      </c>
      <c r="I28" s="5" t="s">
        <v>32</v>
      </c>
      <c r="J28" s="3">
        <v>43.058823529411768</v>
      </c>
      <c r="M28" s="5" t="s">
        <v>32</v>
      </c>
      <c r="N28" s="3">
        <v>5.5</v>
      </c>
    </row>
    <row r="29" spans="1:14" x14ac:dyDescent="0.3">
      <c r="A29" s="5" t="s">
        <v>53</v>
      </c>
      <c r="B29" s="3">
        <v>64</v>
      </c>
      <c r="F29" s="5" t="s">
        <v>33</v>
      </c>
      <c r="G29" s="1">
        <v>18</v>
      </c>
      <c r="I29" s="5" t="s">
        <v>33</v>
      </c>
      <c r="J29" s="3">
        <v>39.777777777777779</v>
      </c>
      <c r="M29" s="5" t="s">
        <v>33</v>
      </c>
      <c r="N29" s="3">
        <v>7</v>
      </c>
    </row>
    <row r="30" spans="1:14" x14ac:dyDescent="0.3">
      <c r="A30" s="5" t="s">
        <v>54</v>
      </c>
      <c r="B30" s="3">
        <v>74</v>
      </c>
      <c r="F30" s="5" t="s">
        <v>34</v>
      </c>
      <c r="G30" s="1">
        <v>13</v>
      </c>
      <c r="I30" s="5" t="s">
        <v>34</v>
      </c>
      <c r="J30" s="3">
        <v>40.692307692307693</v>
      </c>
      <c r="M30" s="5" t="s">
        <v>34</v>
      </c>
      <c r="N30" s="3">
        <v>7</v>
      </c>
    </row>
    <row r="31" spans="1:14" x14ac:dyDescent="0.3">
      <c r="A31" s="5" t="s">
        <v>55</v>
      </c>
      <c r="B31" s="3">
        <v>71</v>
      </c>
      <c r="F31" s="5" t="s">
        <v>35</v>
      </c>
      <c r="G31" s="1">
        <v>13</v>
      </c>
      <c r="I31" s="5" t="s">
        <v>35</v>
      </c>
      <c r="J31" s="3">
        <v>34.46153846153846</v>
      </c>
      <c r="M31" s="5" t="s">
        <v>35</v>
      </c>
      <c r="N31" s="3">
        <v>4</v>
      </c>
    </row>
    <row r="32" spans="1:14" x14ac:dyDescent="0.3">
      <c r="A32" s="5" t="s">
        <v>56</v>
      </c>
      <c r="B32" s="3">
        <v>58</v>
      </c>
      <c r="F32" s="5" t="s">
        <v>36</v>
      </c>
      <c r="G32" s="1">
        <v>13</v>
      </c>
      <c r="I32" s="5" t="s">
        <v>36</v>
      </c>
      <c r="J32" s="3">
        <v>30.307692307692307</v>
      </c>
      <c r="M32" s="5" t="s">
        <v>36</v>
      </c>
      <c r="N32" s="3">
        <v>4.4444444444444446</v>
      </c>
    </row>
    <row r="33" spans="1:14" x14ac:dyDescent="0.3">
      <c r="A33" s="5" t="s">
        <v>57</v>
      </c>
      <c r="B33" s="3">
        <v>68</v>
      </c>
      <c r="F33" s="5" t="s">
        <v>37</v>
      </c>
      <c r="G33" s="1">
        <v>20</v>
      </c>
      <c r="I33" s="5" t="s">
        <v>37</v>
      </c>
      <c r="J33" s="3">
        <v>38.5</v>
      </c>
      <c r="M33" s="5" t="s">
        <v>37</v>
      </c>
      <c r="N33" s="3">
        <v>4.8571428571428568</v>
      </c>
    </row>
    <row r="34" spans="1:14" x14ac:dyDescent="0.3">
      <c r="A34" s="5" t="s">
        <v>58</v>
      </c>
      <c r="B34" s="3">
        <v>62</v>
      </c>
      <c r="F34" s="5" t="s">
        <v>38</v>
      </c>
      <c r="G34" s="1">
        <v>15</v>
      </c>
      <c r="I34" s="5" t="s">
        <v>38</v>
      </c>
      <c r="J34" s="3">
        <v>35.333333333333336</v>
      </c>
      <c r="M34" s="5" t="s">
        <v>38</v>
      </c>
      <c r="N34" s="3">
        <v>5.5714285714285712</v>
      </c>
    </row>
    <row r="35" spans="1:14" x14ac:dyDescent="0.3">
      <c r="A35" s="5" t="s">
        <v>59</v>
      </c>
      <c r="B35" s="3">
        <v>49</v>
      </c>
      <c r="F35" s="5" t="s">
        <v>39</v>
      </c>
      <c r="G35" s="1">
        <v>19</v>
      </c>
      <c r="I35" s="5" t="s">
        <v>39</v>
      </c>
      <c r="J35" s="3">
        <v>32.421052631578945</v>
      </c>
      <c r="M35" s="5" t="s">
        <v>39</v>
      </c>
      <c r="N35" s="3">
        <v>6</v>
      </c>
    </row>
    <row r="36" spans="1:14" x14ac:dyDescent="0.3">
      <c r="A36" s="5" t="s">
        <v>4</v>
      </c>
      <c r="B36" s="3">
        <v>519</v>
      </c>
      <c r="F36" s="5" t="s">
        <v>4</v>
      </c>
      <c r="G36" s="1">
        <v>519</v>
      </c>
      <c r="I36" s="5" t="s">
        <v>4</v>
      </c>
      <c r="J36" s="1">
        <v>35.809248554913296</v>
      </c>
      <c r="M36" s="5" t="s">
        <v>4</v>
      </c>
      <c r="N36" s="1">
        <v>5.1455696202531644</v>
      </c>
    </row>
    <row r="38" spans="1:14" x14ac:dyDescent="0.3">
      <c r="A38" s="5" t="s">
        <v>62</v>
      </c>
    </row>
    <row r="39" spans="1:14" x14ac:dyDescent="0.3">
      <c r="A39" s="2" t="s">
        <v>8</v>
      </c>
      <c r="B39" t="s">
        <v>61</v>
      </c>
    </row>
    <row r="40" spans="1:14" x14ac:dyDescent="0.3">
      <c r="A40" s="5" t="s">
        <v>42</v>
      </c>
      <c r="B40" s="13">
        <v>324</v>
      </c>
    </row>
    <row r="41" spans="1:14" x14ac:dyDescent="0.3">
      <c r="A41" s="5" t="s">
        <v>43</v>
      </c>
      <c r="B41" s="13">
        <v>195</v>
      </c>
    </row>
    <row r="42" spans="1:14" x14ac:dyDescent="0.3">
      <c r="A42" s="5" t="s">
        <v>4</v>
      </c>
      <c r="B42" s="13">
        <v>519</v>
      </c>
    </row>
    <row r="45" spans="1:14" x14ac:dyDescent="0.3">
      <c r="A45" s="5" t="s">
        <v>66</v>
      </c>
    </row>
    <row r="46" spans="1:14" x14ac:dyDescent="0.3">
      <c r="A46" s="2" t="s">
        <v>8</v>
      </c>
      <c r="B46" t="s">
        <v>65</v>
      </c>
    </row>
    <row r="47" spans="1:14" x14ac:dyDescent="0.3">
      <c r="A47" s="5" t="s">
        <v>63</v>
      </c>
      <c r="B47" s="13">
        <v>254</v>
      </c>
    </row>
    <row r="48" spans="1:14" x14ac:dyDescent="0.3">
      <c r="A48" s="5" t="s">
        <v>64</v>
      </c>
      <c r="B48" s="13">
        <v>265</v>
      </c>
    </row>
    <row r="49" spans="1:2" x14ac:dyDescent="0.3">
      <c r="A49" s="5" t="s">
        <v>4</v>
      </c>
      <c r="B49" s="13">
        <v>519</v>
      </c>
    </row>
    <row r="53" spans="1:2" x14ac:dyDescent="0.3">
      <c r="A53" s="2" t="s">
        <v>8</v>
      </c>
      <c r="B53" t="s">
        <v>75</v>
      </c>
    </row>
    <row r="54" spans="1:2" x14ac:dyDescent="0.3">
      <c r="A54" s="5" t="s">
        <v>71</v>
      </c>
      <c r="B54" s="13">
        <v>313</v>
      </c>
    </row>
    <row r="55" spans="1:2" x14ac:dyDescent="0.3">
      <c r="A55" s="5" t="s">
        <v>69</v>
      </c>
      <c r="B55" s="13">
        <v>102</v>
      </c>
    </row>
    <row r="56" spans="1:2" x14ac:dyDescent="0.3">
      <c r="A56" s="5" t="s">
        <v>72</v>
      </c>
      <c r="B56" s="13">
        <v>51</v>
      </c>
    </row>
    <row r="57" spans="1:2" x14ac:dyDescent="0.3">
      <c r="A57" s="5" t="s">
        <v>70</v>
      </c>
      <c r="B57" s="13">
        <v>16</v>
      </c>
    </row>
    <row r="58" spans="1:2" x14ac:dyDescent="0.3">
      <c r="A58" s="5" t="s">
        <v>73</v>
      </c>
      <c r="B58" s="13">
        <v>15</v>
      </c>
    </row>
    <row r="59" spans="1:2" x14ac:dyDescent="0.3">
      <c r="A59" s="5" t="s">
        <v>67</v>
      </c>
      <c r="B59" s="13">
        <v>11</v>
      </c>
    </row>
    <row r="60" spans="1:2" x14ac:dyDescent="0.3">
      <c r="A60" s="5" t="s">
        <v>68</v>
      </c>
      <c r="B60" s="13">
        <v>8</v>
      </c>
    </row>
    <row r="61" spans="1:2" x14ac:dyDescent="0.3">
      <c r="A61" s="5" t="s">
        <v>74</v>
      </c>
      <c r="B61" s="13">
        <v>3</v>
      </c>
    </row>
    <row r="62" spans="1:2" x14ac:dyDescent="0.3">
      <c r="A62" s="5" t="s">
        <v>4</v>
      </c>
      <c r="B62" s="13">
        <v>519</v>
      </c>
    </row>
    <row r="65" spans="1:1" x14ac:dyDescent="0.3">
      <c r="A65" s="2" t="s">
        <v>8</v>
      </c>
    </row>
    <row r="66" spans="1:1" x14ac:dyDescent="0.3">
      <c r="A66" s="5" t="s">
        <v>5</v>
      </c>
    </row>
    <row r="67" spans="1:1" x14ac:dyDescent="0.3">
      <c r="A67" s="6" t="s">
        <v>6</v>
      </c>
    </row>
    <row r="68" spans="1:1" x14ac:dyDescent="0.3">
      <c r="A68" s="7" t="s">
        <v>7</v>
      </c>
    </row>
    <row r="69" spans="1:1" x14ac:dyDescent="0.3">
      <c r="A69" s="8">
        <v>45413</v>
      </c>
    </row>
    <row r="70" spans="1:1" x14ac:dyDescent="0.3">
      <c r="A70" s="8">
        <v>45414</v>
      </c>
    </row>
    <row r="71" spans="1:1" x14ac:dyDescent="0.3">
      <c r="A71" s="8">
        <v>45415</v>
      </c>
    </row>
    <row r="72" spans="1:1" x14ac:dyDescent="0.3">
      <c r="A72" s="8">
        <v>45416</v>
      </c>
    </row>
    <row r="73" spans="1:1" x14ac:dyDescent="0.3">
      <c r="A73" s="8">
        <v>45417</v>
      </c>
    </row>
    <row r="74" spans="1:1" x14ac:dyDescent="0.3">
      <c r="A74" s="8">
        <v>45418</v>
      </c>
    </row>
    <row r="75" spans="1:1" x14ac:dyDescent="0.3">
      <c r="A75" s="8">
        <v>45419</v>
      </c>
    </row>
    <row r="76" spans="1:1" x14ac:dyDescent="0.3">
      <c r="A76" s="8">
        <v>45420</v>
      </c>
    </row>
    <row r="77" spans="1:1" x14ac:dyDescent="0.3">
      <c r="A77" s="8">
        <v>45421</v>
      </c>
    </row>
    <row r="78" spans="1:1" x14ac:dyDescent="0.3">
      <c r="A78" s="8">
        <v>45422</v>
      </c>
    </row>
    <row r="79" spans="1:1" x14ac:dyDescent="0.3">
      <c r="A79" s="8">
        <v>45423</v>
      </c>
    </row>
    <row r="80" spans="1:1" x14ac:dyDescent="0.3">
      <c r="A80" s="8">
        <v>45424</v>
      </c>
    </row>
    <row r="81" spans="1:1" x14ac:dyDescent="0.3">
      <c r="A81" s="8">
        <v>45425</v>
      </c>
    </row>
    <row r="82" spans="1:1" x14ac:dyDescent="0.3">
      <c r="A82" s="8">
        <v>45426</v>
      </c>
    </row>
    <row r="83" spans="1:1" x14ac:dyDescent="0.3">
      <c r="A83" s="8">
        <v>45427</v>
      </c>
    </row>
    <row r="84" spans="1:1" x14ac:dyDescent="0.3">
      <c r="A84" s="8">
        <v>45428</v>
      </c>
    </row>
    <row r="85" spans="1:1" x14ac:dyDescent="0.3">
      <c r="A85" s="8">
        <v>45429</v>
      </c>
    </row>
    <row r="86" spans="1:1" x14ac:dyDescent="0.3">
      <c r="A86" s="8">
        <v>45430</v>
      </c>
    </row>
    <row r="87" spans="1:1" x14ac:dyDescent="0.3">
      <c r="A87" s="8">
        <v>45431</v>
      </c>
    </row>
    <row r="88" spans="1:1" x14ac:dyDescent="0.3">
      <c r="A88" s="8">
        <v>45432</v>
      </c>
    </row>
    <row r="89" spans="1:1" x14ac:dyDescent="0.3">
      <c r="A89" s="8">
        <v>45433</v>
      </c>
    </row>
    <row r="90" spans="1:1" x14ac:dyDescent="0.3">
      <c r="A90" s="8">
        <v>45434</v>
      </c>
    </row>
    <row r="91" spans="1:1" x14ac:dyDescent="0.3">
      <c r="A91" s="8">
        <v>45435</v>
      </c>
    </row>
    <row r="92" spans="1:1" x14ac:dyDescent="0.3">
      <c r="A92" s="8">
        <v>45436</v>
      </c>
    </row>
    <row r="93" spans="1:1" x14ac:dyDescent="0.3">
      <c r="A93" s="8">
        <v>45437</v>
      </c>
    </row>
    <row r="94" spans="1:1" x14ac:dyDescent="0.3">
      <c r="A94" s="8">
        <v>45438</v>
      </c>
    </row>
    <row r="95" spans="1:1" x14ac:dyDescent="0.3">
      <c r="A95" s="8">
        <v>45439</v>
      </c>
    </row>
    <row r="96" spans="1:1" x14ac:dyDescent="0.3">
      <c r="A96" s="8">
        <v>45440</v>
      </c>
    </row>
    <row r="97" spans="1:1" x14ac:dyDescent="0.3">
      <c r="A97" s="8">
        <v>45441</v>
      </c>
    </row>
    <row r="98" spans="1:1" x14ac:dyDescent="0.3">
      <c r="A98" s="8">
        <v>45442</v>
      </c>
    </row>
    <row r="99" spans="1:1" x14ac:dyDescent="0.3">
      <c r="A99" s="8">
        <v>45443</v>
      </c>
    </row>
    <row r="100" spans="1:1" x14ac:dyDescent="0.3">
      <c r="A100" s="5"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9618C-CB2E-4A6B-8331-971D6D4CFEBC}">
  <dimension ref="A1:R31"/>
  <sheetViews>
    <sheetView tabSelected="1" workbookViewId="0">
      <selection activeCell="J30" sqref="J30"/>
    </sheetView>
  </sheetViews>
  <sheetFormatPr defaultRowHeight="14.4" x14ac:dyDescent="0.3"/>
  <cols>
    <col min="6" max="6" width="13.33203125" customWidth="1"/>
    <col min="8" max="8" width="8.5546875" customWidth="1"/>
    <col min="9" max="9" width="12.21875" customWidth="1"/>
  </cols>
  <sheetData>
    <row r="1" spans="1:18" x14ac:dyDescent="0.3">
      <c r="A1" s="4"/>
      <c r="B1" s="4"/>
      <c r="C1" s="4"/>
      <c r="D1" s="4"/>
      <c r="E1" s="4"/>
      <c r="F1" s="4"/>
      <c r="G1" s="4"/>
      <c r="H1" s="4"/>
      <c r="I1" s="4"/>
      <c r="J1" s="4"/>
      <c r="K1" s="4"/>
      <c r="L1" s="4"/>
      <c r="M1" s="4"/>
      <c r="N1" s="4"/>
      <c r="O1" s="4"/>
      <c r="P1" s="4"/>
      <c r="Q1" s="4"/>
      <c r="R1" s="4"/>
    </row>
    <row r="2" spans="1:18" x14ac:dyDescent="0.3">
      <c r="A2" s="4"/>
      <c r="B2" s="4"/>
      <c r="C2" s="4"/>
      <c r="D2" s="4"/>
      <c r="E2" s="4"/>
      <c r="F2" s="4"/>
      <c r="G2" s="4"/>
      <c r="H2" s="4"/>
      <c r="I2" s="4"/>
      <c r="J2" s="4"/>
      <c r="K2" s="4"/>
      <c r="L2" s="4"/>
      <c r="M2" s="4"/>
      <c r="N2" s="4"/>
      <c r="O2" s="4"/>
      <c r="P2" s="4"/>
      <c r="Q2" s="4"/>
      <c r="R2" s="4"/>
    </row>
    <row r="3" spans="1:18" x14ac:dyDescent="0.3">
      <c r="A3" s="4"/>
      <c r="B3" s="4"/>
      <c r="C3" s="4"/>
      <c r="D3" s="4"/>
      <c r="E3" s="4"/>
      <c r="F3" s="4"/>
      <c r="G3" s="4"/>
      <c r="H3" s="4"/>
      <c r="I3" s="4"/>
      <c r="J3" s="4"/>
      <c r="K3" s="4"/>
      <c r="L3" s="4"/>
      <c r="M3" s="4"/>
      <c r="N3" s="4"/>
      <c r="O3" s="4"/>
      <c r="P3" s="4"/>
      <c r="Q3" s="4"/>
      <c r="R3" s="4"/>
    </row>
    <row r="4" spans="1:18" x14ac:dyDescent="0.3">
      <c r="A4" s="4"/>
      <c r="B4" s="4"/>
      <c r="C4" s="4"/>
      <c r="D4" s="4"/>
      <c r="E4" s="4"/>
      <c r="F4" s="4"/>
      <c r="G4" s="4"/>
      <c r="H4" s="4"/>
      <c r="I4" s="4"/>
      <c r="J4" s="4"/>
      <c r="K4" s="4"/>
      <c r="L4" s="4"/>
      <c r="M4" s="4"/>
      <c r="N4" s="4"/>
      <c r="O4" s="4"/>
      <c r="P4" s="4"/>
      <c r="Q4" s="4"/>
      <c r="R4" s="4"/>
    </row>
    <row r="5" spans="1:18" x14ac:dyDescent="0.3">
      <c r="A5" s="4"/>
      <c r="B5" s="4"/>
      <c r="C5" s="4"/>
      <c r="D5" s="4"/>
      <c r="E5" s="4"/>
      <c r="F5" s="4"/>
      <c r="G5" s="4"/>
      <c r="H5" s="4"/>
      <c r="I5" s="4"/>
      <c r="J5" s="4"/>
      <c r="K5" s="4"/>
      <c r="L5" s="4"/>
      <c r="M5" s="4"/>
      <c r="N5" s="4"/>
      <c r="O5" s="4"/>
      <c r="P5" s="4"/>
      <c r="Q5" s="4"/>
      <c r="R5" s="4"/>
    </row>
    <row r="6" spans="1:18" x14ac:dyDescent="0.3">
      <c r="A6" s="4"/>
      <c r="B6" s="4"/>
      <c r="C6" s="4"/>
      <c r="D6" s="4"/>
      <c r="E6" s="4"/>
      <c r="F6" s="4"/>
      <c r="G6" s="4"/>
      <c r="H6" s="4"/>
      <c r="I6" s="4"/>
      <c r="J6" s="4"/>
      <c r="K6" s="4"/>
      <c r="L6" s="4"/>
      <c r="M6" s="4"/>
      <c r="N6" s="4"/>
      <c r="O6" s="4"/>
      <c r="P6" s="4"/>
      <c r="Q6" s="4"/>
      <c r="R6" s="4"/>
    </row>
    <row r="7" spans="1:18" x14ac:dyDescent="0.3">
      <c r="A7" s="4"/>
      <c r="B7" s="4"/>
      <c r="C7" s="4"/>
      <c r="D7" s="4"/>
      <c r="E7" s="4"/>
      <c r="F7" s="4"/>
      <c r="G7" s="4"/>
      <c r="H7" s="4"/>
      <c r="I7" s="4"/>
      <c r="J7" s="4"/>
      <c r="K7" s="4"/>
      <c r="L7" s="4"/>
      <c r="M7" s="4"/>
      <c r="N7" s="4"/>
      <c r="O7" s="4"/>
      <c r="P7" s="4"/>
      <c r="Q7" s="4"/>
      <c r="R7" s="4"/>
    </row>
    <row r="8" spans="1:18" x14ac:dyDescent="0.3">
      <c r="A8" s="4"/>
      <c r="B8" s="4"/>
      <c r="C8" s="4"/>
      <c r="D8" s="4"/>
      <c r="E8" s="4"/>
      <c r="F8" s="4"/>
      <c r="G8" s="4"/>
      <c r="H8" s="4"/>
      <c r="I8" s="4"/>
      <c r="J8" s="4"/>
      <c r="K8" s="4"/>
      <c r="L8" s="4"/>
      <c r="M8" s="4"/>
      <c r="N8" s="4"/>
      <c r="O8" s="4"/>
      <c r="P8" s="4"/>
      <c r="Q8" s="4"/>
      <c r="R8" s="4"/>
    </row>
    <row r="9" spans="1:18" x14ac:dyDescent="0.3">
      <c r="A9" s="4"/>
      <c r="B9" s="4"/>
      <c r="C9" s="4"/>
      <c r="D9" s="4"/>
      <c r="E9" s="4"/>
      <c r="F9" s="4"/>
      <c r="G9" s="4"/>
      <c r="H9" s="4"/>
      <c r="I9" s="4"/>
      <c r="J9" s="4"/>
      <c r="K9" s="4"/>
      <c r="L9" s="4"/>
      <c r="M9" s="4"/>
      <c r="N9" s="4"/>
      <c r="O9" s="4"/>
      <c r="P9" s="4"/>
      <c r="Q9" s="4"/>
      <c r="R9" s="4"/>
    </row>
    <row r="10" spans="1:18" x14ac:dyDescent="0.3">
      <c r="A10" s="4"/>
      <c r="B10" s="4"/>
      <c r="C10" s="4"/>
      <c r="D10" s="4"/>
      <c r="E10" s="4"/>
      <c r="F10" s="4"/>
      <c r="G10" s="4"/>
      <c r="H10" s="4"/>
      <c r="I10" s="4"/>
      <c r="J10" s="4"/>
      <c r="K10" s="4"/>
      <c r="L10" s="4"/>
      <c r="M10" s="4"/>
      <c r="N10" s="4"/>
      <c r="O10" s="4"/>
      <c r="P10" s="4"/>
      <c r="Q10" s="4"/>
      <c r="R10" s="4"/>
    </row>
    <row r="11" spans="1:18" x14ac:dyDescent="0.3">
      <c r="A11" s="4"/>
      <c r="B11" s="4"/>
      <c r="C11" s="4"/>
      <c r="D11" s="4"/>
      <c r="E11" s="4"/>
      <c r="F11" s="4"/>
      <c r="G11" s="4"/>
      <c r="H11" s="4"/>
      <c r="I11" s="4"/>
      <c r="J11" s="4"/>
      <c r="K11" s="4"/>
      <c r="L11" s="4"/>
      <c r="M11" s="4"/>
      <c r="N11" s="4"/>
      <c r="O11" s="4"/>
      <c r="P11" s="4"/>
      <c r="Q11" s="4"/>
      <c r="R11" s="4"/>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A15" s="4"/>
      <c r="B15" s="4"/>
      <c r="C15" s="4"/>
      <c r="D15" s="4"/>
      <c r="E15" s="4"/>
      <c r="F15" s="4"/>
      <c r="G15" s="4"/>
      <c r="H15" s="4"/>
      <c r="I15" s="4"/>
      <c r="J15" s="4"/>
      <c r="K15" s="4"/>
      <c r="L15" s="4"/>
      <c r="M15" s="4"/>
      <c r="N15" s="4"/>
      <c r="O15" s="4"/>
      <c r="P15" s="4"/>
      <c r="Q15" s="4"/>
      <c r="R15" s="4"/>
    </row>
    <row r="16" spans="1:18" x14ac:dyDescent="0.3">
      <c r="A16" s="4"/>
      <c r="B16" s="4"/>
      <c r="C16" s="4"/>
      <c r="D16" s="4"/>
      <c r="E16" s="4"/>
      <c r="F16" s="4"/>
      <c r="G16" s="4"/>
      <c r="H16" s="4"/>
      <c r="I16" s="4"/>
      <c r="J16" s="4"/>
      <c r="K16" s="4"/>
      <c r="L16" s="4"/>
      <c r="M16" s="4"/>
      <c r="N16" s="4"/>
      <c r="O16" s="4"/>
      <c r="P16" s="4"/>
      <c r="Q16" s="4"/>
      <c r="R16" s="4"/>
    </row>
    <row r="17" spans="1:18" x14ac:dyDescent="0.3">
      <c r="A17" s="4"/>
      <c r="B17" s="4"/>
      <c r="C17" s="4"/>
      <c r="D17" s="4"/>
      <c r="E17" s="4"/>
      <c r="F17" s="4"/>
      <c r="G17" s="4"/>
      <c r="H17" s="4"/>
      <c r="I17" s="4"/>
      <c r="J17" s="4"/>
      <c r="K17" s="4"/>
      <c r="L17" s="4"/>
      <c r="M17" s="4"/>
      <c r="N17" s="4"/>
      <c r="O17" s="4"/>
      <c r="P17" s="4"/>
      <c r="Q17" s="4"/>
      <c r="R17" s="4"/>
    </row>
    <row r="18" spans="1:18" x14ac:dyDescent="0.3">
      <c r="A18" s="4"/>
      <c r="B18" s="4"/>
      <c r="C18" s="4"/>
      <c r="D18" s="4"/>
      <c r="E18" s="4"/>
      <c r="F18" s="4"/>
      <c r="G18" s="4"/>
      <c r="H18" s="4"/>
      <c r="I18" s="4"/>
      <c r="J18" s="4"/>
      <c r="K18" s="4"/>
      <c r="L18" s="4"/>
      <c r="M18" s="4"/>
      <c r="N18" s="4"/>
      <c r="O18" s="4"/>
      <c r="P18" s="4"/>
      <c r="Q18" s="4"/>
      <c r="R18" s="4"/>
    </row>
    <row r="19" spans="1:18" x14ac:dyDescent="0.3">
      <c r="A19" s="4"/>
      <c r="B19" s="4"/>
      <c r="C19" s="4"/>
      <c r="D19" s="4"/>
      <c r="E19" s="4"/>
      <c r="F19" s="4"/>
      <c r="G19" s="4"/>
      <c r="H19" s="4"/>
      <c r="I19" s="4"/>
      <c r="J19" s="4"/>
      <c r="K19" s="4"/>
      <c r="L19" s="4"/>
      <c r="M19" s="4"/>
      <c r="N19" s="4"/>
      <c r="O19" s="4"/>
      <c r="P19" s="4"/>
      <c r="Q19" s="4"/>
      <c r="R19" s="4"/>
    </row>
    <row r="20" spans="1:18" x14ac:dyDescent="0.3">
      <c r="A20" s="4"/>
      <c r="B20" s="4"/>
      <c r="C20" s="4"/>
      <c r="D20" s="4"/>
      <c r="E20" s="4"/>
      <c r="F20" s="4"/>
      <c r="G20" s="4"/>
      <c r="H20" s="4"/>
      <c r="I20" s="4"/>
      <c r="J20" s="4"/>
      <c r="K20" s="4"/>
      <c r="L20" s="4"/>
      <c r="M20" s="4"/>
      <c r="N20" s="4"/>
      <c r="O20" s="4"/>
      <c r="P20" s="4"/>
      <c r="Q20" s="4"/>
      <c r="R20" s="4"/>
    </row>
    <row r="21" spans="1:18" x14ac:dyDescent="0.3">
      <c r="A21" s="4"/>
      <c r="B21" s="4"/>
      <c r="C21" s="4"/>
      <c r="D21" s="4"/>
      <c r="E21" s="4"/>
      <c r="F21" s="4"/>
      <c r="G21" s="4"/>
      <c r="H21" s="4"/>
      <c r="I21" s="4"/>
      <c r="J21" s="4"/>
      <c r="K21" s="4"/>
      <c r="L21" s="4"/>
      <c r="M21" s="4"/>
      <c r="N21" s="4"/>
      <c r="O21" s="4"/>
      <c r="P21" s="4"/>
      <c r="Q21" s="4"/>
      <c r="R21" s="4"/>
    </row>
    <row r="22" spans="1:18" x14ac:dyDescent="0.3">
      <c r="A22" s="4"/>
      <c r="B22" s="4"/>
      <c r="C22" s="4"/>
      <c r="D22" s="4"/>
      <c r="E22" s="4"/>
      <c r="F22" s="4"/>
      <c r="G22" s="4"/>
      <c r="H22" s="4"/>
      <c r="I22" s="4"/>
      <c r="J22" s="4"/>
      <c r="K22" s="4"/>
      <c r="L22" s="4"/>
      <c r="M22" s="4"/>
      <c r="N22" s="4"/>
      <c r="O22" s="4"/>
      <c r="P22" s="4"/>
      <c r="Q22" s="4"/>
      <c r="R22" s="4"/>
    </row>
    <row r="23" spans="1:18" x14ac:dyDescent="0.3">
      <c r="A23" s="4"/>
      <c r="B23" s="4"/>
      <c r="C23" s="4"/>
      <c r="D23" s="4"/>
      <c r="E23" s="4"/>
      <c r="F23" s="4"/>
      <c r="G23" s="4"/>
      <c r="H23" s="4"/>
      <c r="I23" s="4"/>
      <c r="J23" s="4"/>
      <c r="K23" s="4"/>
      <c r="L23" s="4"/>
      <c r="M23" s="4"/>
      <c r="N23" s="4"/>
      <c r="O23" s="4"/>
      <c r="P23" s="4"/>
      <c r="Q23" s="4"/>
      <c r="R23" s="4"/>
    </row>
    <row r="24" spans="1:18" x14ac:dyDescent="0.3">
      <c r="A24" s="4"/>
      <c r="B24" s="4"/>
      <c r="C24" s="4"/>
      <c r="D24" s="4"/>
      <c r="E24" s="4"/>
      <c r="F24" s="4"/>
      <c r="G24" s="4"/>
      <c r="H24" s="4"/>
      <c r="I24" s="4"/>
      <c r="J24" s="4"/>
      <c r="K24" s="4"/>
      <c r="L24" s="4"/>
      <c r="M24" s="4"/>
      <c r="N24" s="4"/>
      <c r="O24" s="4"/>
      <c r="P24" s="4"/>
      <c r="Q24" s="4"/>
      <c r="R24" s="4"/>
    </row>
    <row r="25" spans="1:18" x14ac:dyDescent="0.3">
      <c r="A25" s="4"/>
      <c r="B25" s="4"/>
      <c r="C25" s="4"/>
      <c r="D25" s="4"/>
      <c r="E25" s="4"/>
      <c r="F25" s="4"/>
      <c r="G25" s="4"/>
      <c r="H25" s="4"/>
      <c r="I25" s="4"/>
      <c r="J25" s="4"/>
      <c r="K25" s="4"/>
      <c r="L25" s="4"/>
      <c r="M25" s="4"/>
      <c r="N25" s="4"/>
      <c r="O25" s="4"/>
      <c r="P25" s="4"/>
      <c r="Q25" s="4"/>
      <c r="R25" s="4"/>
    </row>
    <row r="26" spans="1:18" x14ac:dyDescent="0.3">
      <c r="A26" s="4"/>
      <c r="B26" s="4"/>
      <c r="C26" s="4"/>
      <c r="D26" s="4"/>
      <c r="E26" s="4"/>
      <c r="F26" s="4"/>
      <c r="G26" s="4"/>
      <c r="H26" s="4"/>
      <c r="I26" s="4"/>
      <c r="J26" s="4"/>
      <c r="K26" s="4"/>
      <c r="L26" s="4"/>
      <c r="M26" s="4"/>
      <c r="N26" s="4"/>
      <c r="O26" s="4"/>
      <c r="P26" s="4"/>
      <c r="Q26" s="4"/>
      <c r="R26" s="4"/>
    </row>
    <row r="27" spans="1:18" x14ac:dyDescent="0.3">
      <c r="A27" s="4"/>
      <c r="B27" s="4"/>
      <c r="C27" s="4"/>
      <c r="D27" s="4"/>
      <c r="E27" s="4"/>
      <c r="F27" s="4"/>
      <c r="G27" s="4"/>
      <c r="H27" s="4"/>
      <c r="I27" s="4"/>
      <c r="J27" s="4"/>
      <c r="K27" s="4"/>
      <c r="L27" s="4"/>
      <c r="M27" s="4"/>
      <c r="N27" s="4"/>
      <c r="O27" s="4"/>
      <c r="P27" s="4"/>
      <c r="Q27" s="4"/>
      <c r="R27" s="4"/>
    </row>
    <row r="28" spans="1:18" x14ac:dyDescent="0.3">
      <c r="A28" s="4"/>
      <c r="B28" s="4"/>
      <c r="C28" s="4"/>
      <c r="D28" s="4"/>
      <c r="E28" s="4"/>
      <c r="F28" s="4"/>
      <c r="G28" s="4"/>
      <c r="H28" s="4"/>
      <c r="I28" s="4"/>
      <c r="J28" s="4"/>
      <c r="K28" s="4"/>
      <c r="L28" s="4"/>
      <c r="M28" s="4"/>
      <c r="N28" s="4"/>
      <c r="O28" s="4"/>
      <c r="P28" s="4"/>
      <c r="Q28" s="4"/>
      <c r="R28" s="4"/>
    </row>
    <row r="29" spans="1:18" x14ac:dyDescent="0.3">
      <c r="A29" s="4"/>
      <c r="B29" s="4"/>
      <c r="C29" s="4"/>
      <c r="D29" s="4"/>
      <c r="E29" s="4"/>
      <c r="F29" s="4"/>
      <c r="G29" s="4"/>
      <c r="H29" s="4"/>
      <c r="I29" s="4"/>
      <c r="J29" s="4"/>
      <c r="K29" s="4"/>
      <c r="L29" s="4"/>
      <c r="M29" s="4"/>
      <c r="N29" s="4"/>
      <c r="O29" s="4"/>
      <c r="P29" s="4"/>
      <c r="Q29" s="4"/>
      <c r="R29" s="4"/>
    </row>
    <row r="30" spans="1:18" x14ac:dyDescent="0.3">
      <c r="A30" s="4"/>
      <c r="B30" s="4"/>
      <c r="C30" s="4"/>
      <c r="D30" s="4"/>
      <c r="E30" s="4"/>
      <c r="F30" s="4"/>
      <c r="G30" s="4"/>
      <c r="H30" s="4"/>
      <c r="I30" s="4"/>
      <c r="J30" s="4"/>
      <c r="K30" s="4"/>
      <c r="L30" s="4"/>
      <c r="M30" s="4"/>
      <c r="N30" s="4"/>
      <c r="O30" s="4"/>
      <c r="P30" s="4"/>
      <c r="Q30" s="4"/>
      <c r="R30" s="4"/>
    </row>
    <row r="31" spans="1:18" x14ac:dyDescent="0.3">
      <c r="A31" s="4"/>
      <c r="B31" s="4"/>
      <c r="C31" s="4"/>
      <c r="D31" s="4"/>
      <c r="E31" s="4"/>
      <c r="F31" s="4"/>
      <c r="G31" s="4"/>
      <c r="H31" s="4"/>
      <c r="I31" s="4"/>
      <c r="J31" s="4"/>
      <c r="K31" s="4"/>
      <c r="L31" s="4"/>
      <c r="M31" s="4"/>
      <c r="N31" s="4"/>
      <c r="O31" s="4"/>
      <c r="P31" s="4"/>
      <c r="Q31" s="4"/>
      <c r="R3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680A-7252-43BE-BFAD-4EDD7BA0BB18}">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E785FF3-0BC6-4CAD-A7F8-862C3D3D0932}">
  <ds:schemaRefs/>
</ds:datastoreItem>
</file>

<file path=customXml/itemProps2.xml><?xml version="1.0" encoding="utf-8"?>
<ds:datastoreItem xmlns:ds="http://schemas.openxmlformats.org/officeDocument/2006/customXml" ds:itemID="{8DDD95EB-F6DD-4190-AB1E-F6B6F7A9AC8E}">
  <ds:schemaRefs/>
</ds:datastoreItem>
</file>

<file path=customXml/itemProps3.xml><?xml version="1.0" encoding="utf-8"?>
<ds:datastoreItem xmlns:ds="http://schemas.openxmlformats.org/officeDocument/2006/customXml" ds:itemID="{B270FD3F-A832-41FA-B25F-A8F7CD36C4D9}">
  <ds:schemaRefs/>
</ds:datastoreItem>
</file>

<file path=customXml/itemProps4.xml><?xml version="1.0" encoding="utf-8"?>
<ds:datastoreItem xmlns:ds="http://schemas.openxmlformats.org/officeDocument/2006/customXml" ds:itemID="{A545D779-86B5-466E-A876-CD30537C277C}">
  <ds:schemaRefs/>
</ds:datastoreItem>
</file>

<file path=customXml/itemProps5.xml><?xml version="1.0" encoding="utf-8"?>
<ds:datastoreItem xmlns:ds="http://schemas.openxmlformats.org/officeDocument/2006/customXml" ds:itemID="{DB0B49BD-6E3F-4F4B-B6B6-A67345C79B00}">
  <ds:schemaRefs/>
</ds:datastoreItem>
</file>

<file path=customXml/itemProps6.xml><?xml version="1.0" encoding="utf-8"?>
<ds:datastoreItem xmlns:ds="http://schemas.openxmlformats.org/officeDocument/2006/customXml" ds:itemID="{F7F8B6FD-CA34-4735-BE02-6E9DD3F1B4FA}">
  <ds:schemaRefs/>
</ds:datastoreItem>
</file>

<file path=customXml/itemProps7.xml><?xml version="1.0" encoding="utf-8"?>
<ds:datastoreItem xmlns:ds="http://schemas.openxmlformats.org/officeDocument/2006/customXml" ds:itemID="{E2FCAB57-0818-4F4D-A392-546F2233204C}">
  <ds:schemaRefs/>
</ds:datastoreItem>
</file>

<file path=customXml/itemProps8.xml><?xml version="1.0" encoding="utf-8"?>
<ds:datastoreItem xmlns:ds="http://schemas.openxmlformats.org/officeDocument/2006/customXml" ds:itemID="{00E28538-B0DF-4D63-9C29-4FFE6BF7C5CB}">
  <ds:schemaRefs/>
</ds:datastoreItem>
</file>

<file path=customXml/itemProps9.xml><?xml version="1.0" encoding="utf-8"?>
<ds:datastoreItem xmlns:ds="http://schemas.openxmlformats.org/officeDocument/2006/customXml" ds:itemID="{C544D1D2-A844-4619-852D-DC48B75D5280}">
  <ds:schemaRefs/>
</ds:datastoreItem>
</file>

<file path=customXml/itemProps10.xml><?xml version="1.0" encoding="utf-8"?>
<ds:datastoreItem xmlns:ds="http://schemas.openxmlformats.org/officeDocument/2006/customXml" ds:itemID="{9ED35EEA-ADB1-4B71-9842-B9B3F010D094}">
  <ds:schemaRefs/>
</ds:datastoreItem>
</file>

<file path=customXml/itemProps11.xml><?xml version="1.0" encoding="utf-8"?>
<ds:datastoreItem xmlns:ds="http://schemas.openxmlformats.org/officeDocument/2006/customXml" ds:itemID="{5CFF7C35-10E0-44CE-AABB-B5FE7A4B16EE}">
  <ds:schemaRefs/>
</ds:datastoreItem>
</file>

<file path=customXml/itemProps12.xml><?xml version="1.0" encoding="utf-8"?>
<ds:datastoreItem xmlns:ds="http://schemas.openxmlformats.org/officeDocument/2006/customXml" ds:itemID="{1327C1EA-5A6F-4DF4-BF39-295C30BF6546}">
  <ds:schemaRefs/>
</ds:datastoreItem>
</file>

<file path=customXml/itemProps13.xml><?xml version="1.0" encoding="utf-8"?>
<ds:datastoreItem xmlns:ds="http://schemas.openxmlformats.org/officeDocument/2006/customXml" ds:itemID="{AD2182C5-D2ED-494C-81F2-F994170F8B5E}">
  <ds:schemaRefs>
    <ds:schemaRef ds:uri="http://schemas.microsoft.com/DataMashup"/>
  </ds:schemaRefs>
</ds:datastoreItem>
</file>

<file path=customXml/itemProps14.xml><?xml version="1.0" encoding="utf-8"?>
<ds:datastoreItem xmlns:ds="http://schemas.openxmlformats.org/officeDocument/2006/customXml" ds:itemID="{29FAD0FC-8884-455C-B0B1-635D9613564D}">
  <ds:schemaRefs/>
</ds:datastoreItem>
</file>

<file path=customXml/itemProps15.xml><?xml version="1.0" encoding="utf-8"?>
<ds:datastoreItem xmlns:ds="http://schemas.openxmlformats.org/officeDocument/2006/customXml" ds:itemID="{09C924F1-97D2-48BE-8C46-8C103465C02F}">
  <ds:schemaRefs/>
</ds:datastoreItem>
</file>

<file path=customXml/itemProps16.xml><?xml version="1.0" encoding="utf-8"?>
<ds:datastoreItem xmlns:ds="http://schemas.openxmlformats.org/officeDocument/2006/customXml" ds:itemID="{1179A285-AE75-4103-B545-B85FD1FA37B2}">
  <ds:schemaRefs/>
</ds:datastoreItem>
</file>

<file path=customXml/itemProps17.xml><?xml version="1.0" encoding="utf-8"?>
<ds:datastoreItem xmlns:ds="http://schemas.openxmlformats.org/officeDocument/2006/customXml" ds:itemID="{F964D797-A003-42B6-A404-6BF2A22B9715}">
  <ds:schemaRefs/>
</ds:datastoreItem>
</file>

<file path=customXml/itemProps18.xml><?xml version="1.0" encoding="utf-8"?>
<ds:datastoreItem xmlns:ds="http://schemas.openxmlformats.org/officeDocument/2006/customXml" ds:itemID="{C8237091-F1FD-464D-9BCA-5B695A2043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 </vt:lpstr>
      <vt:lpstr>Dashboard</vt:lpstr>
      <vt:lpstr>average wait 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 Chandra</dc:creator>
  <cp:lastModifiedBy>Kishor Chandra</cp:lastModifiedBy>
  <dcterms:created xsi:type="dcterms:W3CDTF">2015-06-05T18:17:20Z</dcterms:created>
  <dcterms:modified xsi:type="dcterms:W3CDTF">2026-03-08T13:49:52Z</dcterms:modified>
</cp:coreProperties>
</file>